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filterPrivacy="1"/>
  <xr:revisionPtr revIDLastSave="0" documentId="13_ncr:1_{2700528E-DBC9-4F87-8C81-59C391421C0E}" xr6:coauthVersionLast="47" xr6:coauthVersionMax="47" xr10:uidLastSave="{00000000-0000-0000-0000-000000000000}"/>
  <bookViews>
    <workbookView xWindow="46044" yWindow="2088" windowWidth="19260" windowHeight="18120" activeTab="1" xr2:uid="{00000000-000D-0000-FFFF-FFFF00000000}"/>
  </bookViews>
  <sheets>
    <sheet name="임금대장" sheetId="7" r:id="rId1"/>
    <sheet name="명세서" sheetId="14" r:id="rId2"/>
  </sheets>
  <definedNames>
    <definedName name="명단">임금대장!$C$5:$V$16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4" l="1"/>
  <c r="C9" i="14" l="1"/>
  <c r="B2" i="14"/>
  <c r="F5" i="7" l="1"/>
  <c r="O8" i="14"/>
  <c r="O7" i="14"/>
  <c r="O9" i="14" l="1"/>
  <c r="N2" i="14"/>
  <c r="E5" i="14"/>
  <c r="T12" i="14"/>
  <c r="T5" i="14"/>
  <c r="S21" i="14"/>
  <c r="O21" i="14"/>
  <c r="O20" i="14"/>
  <c r="S19" i="14"/>
  <c r="O19" i="14"/>
  <c r="S18" i="14"/>
  <c r="O18" i="14"/>
  <c r="O15" i="14"/>
  <c r="C21" i="14"/>
  <c r="C20" i="14"/>
  <c r="C19" i="14"/>
  <c r="C18" i="14"/>
  <c r="O5" i="7"/>
  <c r="N5" i="7"/>
  <c r="M5" i="7"/>
  <c r="G19" i="14"/>
  <c r="G18" i="14"/>
  <c r="G21" i="14"/>
  <c r="I18" i="14" l="1"/>
  <c r="U18" i="14" s="1"/>
  <c r="I15" i="14"/>
  <c r="E21" i="14"/>
  <c r="Q21" i="14" s="1"/>
  <c r="I14" i="14"/>
  <c r="I16" i="14"/>
  <c r="E20" i="14"/>
  <c r="I13" i="14"/>
  <c r="I21" i="14"/>
  <c r="G24" i="14"/>
  <c r="E19" i="14"/>
  <c r="I19" i="14"/>
  <c r="U19" i="14" s="1"/>
  <c r="E18" i="14"/>
  <c r="I12" i="14"/>
  <c r="G12" i="14"/>
  <c r="O5" i="14"/>
  <c r="I17" i="7"/>
  <c r="U15" i="14"/>
  <c r="C15" i="14"/>
  <c r="K17" i="7"/>
  <c r="G22" i="14" l="1"/>
  <c r="G17" i="14"/>
  <c r="P5" i="7"/>
  <c r="G23" i="14" l="1"/>
  <c r="V5" i="7"/>
  <c r="Q18" i="14" l="1"/>
  <c r="AA5" i="7"/>
  <c r="Q17" i="7" l="1"/>
  <c r="AB17" i="7"/>
  <c r="J17" i="7" l="1"/>
  <c r="H17" i="7"/>
  <c r="L5" i="7"/>
  <c r="S17" i="14" s="1"/>
  <c r="AC5" i="7" l="1"/>
  <c r="W5" i="7"/>
  <c r="N17" i="7"/>
  <c r="G17" i="7"/>
  <c r="M17" i="7"/>
  <c r="O17" i="7"/>
  <c r="AA17" i="7"/>
  <c r="P17" i="7"/>
  <c r="F17" i="7"/>
  <c r="V17" i="7" l="1"/>
  <c r="AD5" i="7"/>
  <c r="AD17" i="7" l="1"/>
  <c r="AC17" i="7"/>
  <c r="U21" i="14"/>
  <c r="U16" i="14"/>
  <c r="U14" i="14"/>
  <c r="S24" i="14" l="1"/>
  <c r="Q20" i="14"/>
  <c r="Q19" i="14"/>
  <c r="U13" i="14"/>
  <c r="S12" i="14"/>
  <c r="Q5" i="14"/>
  <c r="S22" i="14" l="1"/>
  <c r="U12" i="14"/>
  <c r="S23" i="14" l="1"/>
  <c r="L17" i="7"/>
  <c r="W17" i="7" l="1"/>
</calcChain>
</file>

<file path=xl/sharedStrings.xml><?xml version="1.0" encoding="utf-8"?>
<sst xmlns="http://schemas.openxmlformats.org/spreadsheetml/2006/main" count="103" uniqueCount="76">
  <si>
    <t>NO</t>
  </si>
  <si>
    <t>상여금</t>
  </si>
  <si>
    <t>공    제    계</t>
  </si>
  <si>
    <t>( 확 인 란 )</t>
  </si>
  <si>
    <t>차   감   지   급   액</t>
  </si>
  <si>
    <t>급여지급액</t>
  </si>
  <si>
    <t>합  계</t>
  </si>
  <si>
    <t>실지급액</t>
  </si>
  <si>
    <t>급여지급일</t>
  </si>
  <si>
    <t>성     명</t>
  </si>
  <si>
    <t>부     서</t>
  </si>
  <si>
    <t>금    액</t>
  </si>
  <si>
    <t>공
제
사
항</t>
  </si>
  <si>
    <t>시급(시간)</t>
  </si>
  <si>
    <t>시  간</t>
  </si>
  <si>
    <t>지
급
사
항</t>
  </si>
  <si>
    <t>* 귀하의 노고에 진심으로 감사드립니다 *</t>
  </si>
  <si>
    <t>산재</t>
  </si>
  <si>
    <t>급여</t>
  </si>
  <si>
    <t>시간</t>
  </si>
  <si>
    <t>고용</t>
  </si>
  <si>
    <t>총보수</t>
  </si>
  <si>
    <t>이름</t>
  </si>
  <si>
    <t>기본급</t>
  </si>
  <si>
    <t>계</t>
  </si>
  <si>
    <t>퇴직금</t>
  </si>
  <si>
    <t>4대보험 근로자 부담</t>
  </si>
  <si>
    <t>&lt;사무실 보관용&gt;</t>
  </si>
  <si>
    <t>가산금</t>
    <phoneticPr fontId="14" type="noConversion"/>
  </si>
  <si>
    <t>상여금</t>
    <phoneticPr fontId="14" type="noConversion"/>
  </si>
  <si>
    <t>시간외수당</t>
    <phoneticPr fontId="14" type="noConversion"/>
  </si>
  <si>
    <t>인지
시간</t>
    <phoneticPr fontId="14" type="noConversion"/>
  </si>
  <si>
    <t>사회복지사</t>
    <phoneticPr fontId="14" type="noConversion"/>
  </si>
  <si>
    <t>시설장</t>
    <phoneticPr fontId="14" type="noConversion"/>
  </si>
  <si>
    <t>비과세</t>
    <phoneticPr fontId="14" type="noConversion"/>
  </si>
  <si>
    <t>장기근속
장려금</t>
    <phoneticPr fontId="14" type="noConversion"/>
  </si>
  <si>
    <t>사업주부담금</t>
    <phoneticPr fontId="14" type="noConversion"/>
  </si>
  <si>
    <t>연금</t>
    <phoneticPr fontId="14" type="noConversion"/>
  </si>
  <si>
    <t>건강</t>
    <phoneticPr fontId="14" type="noConversion"/>
  </si>
  <si>
    <t>장기</t>
    <phoneticPr fontId="14" type="noConversion"/>
  </si>
  <si>
    <t>국민연금</t>
    <phoneticPr fontId="14" type="noConversion"/>
  </si>
  <si>
    <t>건강보험</t>
    <phoneticPr fontId="14" type="noConversion"/>
  </si>
  <si>
    <t>노인장기
요양보험</t>
    <phoneticPr fontId="14" type="noConversion"/>
  </si>
  <si>
    <t>고용보험</t>
    <phoneticPr fontId="14" type="noConversion"/>
  </si>
  <si>
    <t>갑근세</t>
    <phoneticPr fontId="14" type="noConversion"/>
  </si>
  <si>
    <t>주민세</t>
    <phoneticPr fontId="14" type="noConversion"/>
  </si>
  <si>
    <t>식대및
유류대</t>
    <phoneticPr fontId="14" type="noConversion"/>
  </si>
  <si>
    <t>연말
정산공제</t>
    <phoneticPr fontId="14" type="noConversion"/>
  </si>
  <si>
    <t>가산금</t>
    <phoneticPr fontId="14" type="noConversion"/>
  </si>
  <si>
    <t>시간외수당</t>
    <phoneticPr fontId="14" type="noConversion"/>
  </si>
  <si>
    <t>항  목</t>
    <phoneticPr fontId="14" type="noConversion"/>
  </si>
  <si>
    <t>총 급여액</t>
    <phoneticPr fontId="14" type="noConversion"/>
  </si>
  <si>
    <t>(인)</t>
    <phoneticPr fontId="14" type="noConversion"/>
  </si>
  <si>
    <t>2021.04.20</t>
    <phoneticPr fontId="14" type="noConversion"/>
  </si>
  <si>
    <t>&lt;직원 보관용&gt;</t>
    <phoneticPr fontId="14" type="noConversion"/>
  </si>
  <si>
    <t>☜여기에 직원이름을 치세요</t>
    <phoneticPr fontId="14" type="noConversion"/>
  </si>
  <si>
    <t>년</t>
    <phoneticPr fontId="14" type="noConversion"/>
  </si>
  <si>
    <t>월</t>
    <phoneticPr fontId="14" type="noConversion"/>
  </si>
  <si>
    <t>부서</t>
    <phoneticPr fontId="14" type="noConversion"/>
  </si>
  <si>
    <t>요양보호사</t>
    <phoneticPr fontId="14" type="noConversion"/>
  </si>
  <si>
    <t>희망재가방문요양시설   03월 인건비 산출(2021)</t>
    <phoneticPr fontId="14" type="noConversion"/>
  </si>
  <si>
    <t>홍길동</t>
  </si>
  <si>
    <t>홍길동</t>
    <phoneticPr fontId="14" type="noConversion"/>
  </si>
  <si>
    <t>희망재가 노인요양센터</t>
    <phoneticPr fontId="14" type="noConversion"/>
  </si>
  <si>
    <t>이효리</t>
    <phoneticPr fontId="14" type="noConversion"/>
  </si>
  <si>
    <t>옥주현</t>
    <phoneticPr fontId="14" type="noConversion"/>
  </si>
  <si>
    <t>이진</t>
    <phoneticPr fontId="14" type="noConversion"/>
  </si>
  <si>
    <t>성유리</t>
    <phoneticPr fontId="14" type="noConversion"/>
  </si>
  <si>
    <t>유재석</t>
    <phoneticPr fontId="14" type="noConversion"/>
  </si>
  <si>
    <t>박명수</t>
    <phoneticPr fontId="14" type="noConversion"/>
  </si>
  <si>
    <t>정준하</t>
    <phoneticPr fontId="14" type="noConversion"/>
  </si>
  <si>
    <t>정형돈</t>
    <phoneticPr fontId="14" type="noConversion"/>
  </si>
  <si>
    <t>노홍철</t>
    <phoneticPr fontId="14" type="noConversion"/>
  </si>
  <si>
    <t>하하</t>
    <phoneticPr fontId="14" type="noConversion"/>
  </si>
  <si>
    <t>김태호</t>
    <phoneticPr fontId="14" type="noConversion"/>
  </si>
  <si>
    <t>*12000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</si>
</sst>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25" x14ac:knownFonts="1">
    <font>
      <sz val="11"/>
      <color rgb="FF000000"/>
      <name val="맑은 고딕"/>
    </font>
    <font>
      <sz val="11"/>
      <color rgb="FFFA7D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굴림"/>
      <family val="3"/>
      <charset val="129"/>
    </font>
    <font>
      <sz val="11"/>
      <color rgb="FF000000"/>
      <name val="굴림"/>
      <family val="3"/>
      <charset val="129"/>
    </font>
    <font>
      <sz val="20"/>
      <color rgb="FF000000"/>
      <name val="굴림"/>
      <family val="3"/>
      <charset val="129"/>
    </font>
    <font>
      <b/>
      <sz val="14"/>
      <color rgb="FF000000"/>
      <name val="굴림"/>
      <family val="3"/>
      <charset val="129"/>
    </font>
    <font>
      <sz val="12"/>
      <color rgb="FF000000"/>
      <name val="굴림"/>
      <family val="3"/>
      <charset val="129"/>
    </font>
    <font>
      <b/>
      <sz val="11"/>
      <color rgb="FF000000"/>
      <name val="굴림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4"/>
      <color rgb="FF000000"/>
      <name val="굴림"/>
      <family val="3"/>
      <charset val="129"/>
    </font>
    <font>
      <sz val="26"/>
      <color rgb="FF000000"/>
      <name val="맑은 고딕"/>
      <family val="3"/>
      <charset val="129"/>
    </font>
    <font>
      <sz val="9"/>
      <name val="맑은 고딕"/>
      <family val="3"/>
      <charset val="129"/>
    </font>
    <font>
      <sz val="20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6"/>
      <color rgb="FF000000"/>
      <name val="굴림"/>
      <family val="3"/>
      <charset val="129"/>
    </font>
    <font>
      <b/>
      <sz val="16"/>
      <color rgb="FF000000"/>
      <name val="굴림"/>
      <family val="3"/>
      <charset val="129"/>
    </font>
    <font>
      <b/>
      <sz val="18"/>
      <color rgb="FF000000"/>
      <name val="굴림"/>
      <family val="3"/>
      <charset val="129"/>
    </font>
    <font>
      <b/>
      <sz val="20"/>
      <color rgb="FF000000"/>
      <name val="굴림"/>
      <family val="3"/>
      <charset val="129"/>
    </font>
    <font>
      <b/>
      <sz val="10"/>
      <color rgb="FF000000"/>
      <name val="굴림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0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</borders>
  <cellStyleXfs count="5">
    <xf numFmtId="0" fontId="0" fillId="0" borderId="0">
      <alignment vertical="center"/>
    </xf>
    <xf numFmtId="41" fontId="13" fillId="0" borderId="0">
      <alignment vertical="center"/>
    </xf>
    <xf numFmtId="0" fontId="1" fillId="0" borderId="1">
      <alignment vertical="center"/>
    </xf>
    <xf numFmtId="0" fontId="2" fillId="0" borderId="0"/>
    <xf numFmtId="0" fontId="2" fillId="0" borderId="0"/>
  </cellStyleXfs>
  <cellXfs count="2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7" fillId="0" borderId="0" xfId="3" applyNumberFormat="1" applyFont="1" applyAlignment="1">
      <alignment vertical="center"/>
    </xf>
    <xf numFmtId="0" fontId="8" fillId="0" borderId="0" xfId="3" applyNumberFormat="1" applyFont="1" applyAlignment="1">
      <alignment vertical="center"/>
    </xf>
    <xf numFmtId="14" fontId="7" fillId="0" borderId="0" xfId="3" applyNumberFormat="1" applyFont="1" applyAlignment="1">
      <alignment vertical="center"/>
    </xf>
    <xf numFmtId="0" fontId="7" fillId="0" borderId="0" xfId="3" applyNumberFormat="1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 wrapText="1"/>
    </xf>
    <xf numFmtId="0" fontId="6" fillId="0" borderId="61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41" fontId="5" fillId="0" borderId="11" xfId="1" applyFont="1" applyBorder="1">
      <alignment vertical="center"/>
    </xf>
    <xf numFmtId="41" fontId="5" fillId="0" borderId="9" xfId="1" applyFont="1" applyBorder="1">
      <alignment vertical="center"/>
    </xf>
    <xf numFmtId="41" fontId="5" fillId="0" borderId="20" xfId="1" applyFont="1" applyBorder="1">
      <alignment vertical="center"/>
    </xf>
    <xf numFmtId="41" fontId="5" fillId="0" borderId="38" xfId="1" applyFont="1" applyBorder="1" applyAlignment="1">
      <alignment vertical="center"/>
    </xf>
    <xf numFmtId="41" fontId="5" fillId="0" borderId="7" xfId="1" applyFont="1" applyBorder="1">
      <alignment vertical="center"/>
    </xf>
    <xf numFmtId="41" fontId="5" fillId="0" borderId="2" xfId="1" applyFont="1" applyBorder="1">
      <alignment vertical="center"/>
    </xf>
    <xf numFmtId="41" fontId="5" fillId="0" borderId="5" xfId="1" applyFont="1" applyBorder="1">
      <alignment vertical="center"/>
    </xf>
    <xf numFmtId="41" fontId="5" fillId="0" borderId="65" xfId="1" applyFont="1" applyBorder="1" applyAlignment="1">
      <alignment vertical="center"/>
    </xf>
    <xf numFmtId="41" fontId="5" fillId="0" borderId="64" xfId="1" applyFont="1" applyBorder="1">
      <alignment vertical="center"/>
    </xf>
    <xf numFmtId="41" fontId="5" fillId="0" borderId="62" xfId="1" applyFont="1" applyBorder="1">
      <alignment vertical="center"/>
    </xf>
    <xf numFmtId="41" fontId="5" fillId="2" borderId="52" xfId="1" applyFont="1" applyFill="1" applyBorder="1">
      <alignment vertical="center"/>
    </xf>
    <xf numFmtId="41" fontId="5" fillId="2" borderId="53" xfId="1" applyFont="1" applyFill="1" applyBorder="1">
      <alignment vertical="center"/>
    </xf>
    <xf numFmtId="41" fontId="5" fillId="2" borderId="58" xfId="1" applyFont="1" applyFill="1" applyBorder="1">
      <alignment vertical="center"/>
    </xf>
    <xf numFmtId="41" fontId="5" fillId="2" borderId="54" xfId="1" applyFont="1" applyFill="1" applyBorder="1">
      <alignment vertical="center"/>
    </xf>
    <xf numFmtId="41" fontId="5" fillId="2" borderId="55" xfId="1" applyFont="1" applyFill="1" applyBorder="1">
      <alignment vertical="center"/>
    </xf>
    <xf numFmtId="41" fontId="5" fillId="2" borderId="50" xfId="1" applyFont="1" applyFill="1" applyBorder="1">
      <alignment vertical="center"/>
    </xf>
    <xf numFmtId="41" fontId="5" fillId="2" borderId="57" xfId="1" applyFont="1" applyFill="1" applyBorder="1" applyAlignment="1">
      <alignment vertical="center"/>
    </xf>
    <xf numFmtId="41" fontId="5" fillId="0" borderId="21" xfId="1" applyFont="1" applyBorder="1">
      <alignment vertical="center"/>
    </xf>
    <xf numFmtId="41" fontId="5" fillId="0" borderId="4" xfId="1" applyFont="1" applyBorder="1">
      <alignment vertical="center"/>
    </xf>
    <xf numFmtId="41" fontId="5" fillId="0" borderId="0" xfId="1" applyFont="1" applyFill="1" applyBorder="1">
      <alignment vertical="center"/>
    </xf>
    <xf numFmtId="41" fontId="5" fillId="2" borderId="67" xfId="1" applyFont="1" applyFill="1" applyBorder="1">
      <alignment vertical="center"/>
    </xf>
    <xf numFmtId="0" fontId="5" fillId="0" borderId="30" xfId="0" applyFont="1" applyBorder="1" applyAlignment="1">
      <alignment horizontal="center" vertical="center"/>
    </xf>
    <xf numFmtId="41" fontId="5" fillId="0" borderId="0" xfId="1" applyFont="1">
      <alignment vertical="center"/>
    </xf>
    <xf numFmtId="41" fontId="5" fillId="6" borderId="21" xfId="1" applyFont="1" applyFill="1" applyBorder="1">
      <alignment vertical="center"/>
    </xf>
    <xf numFmtId="41" fontId="5" fillId="6" borderId="4" xfId="1" applyFont="1" applyFill="1" applyBorder="1">
      <alignment vertical="center"/>
    </xf>
    <xf numFmtId="41" fontId="5" fillId="6" borderId="69" xfId="1" applyFont="1" applyFill="1" applyBorder="1">
      <alignment vertical="center"/>
    </xf>
    <xf numFmtId="0" fontId="5" fillId="0" borderId="7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>
      <alignment vertical="center"/>
    </xf>
    <xf numFmtId="0" fontId="16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41" fontId="5" fillId="0" borderId="10" xfId="1" applyFont="1" applyBorder="1">
      <alignment vertical="center"/>
    </xf>
    <xf numFmtId="41" fontId="5" fillId="0" borderId="3" xfId="1" applyFont="1" applyBorder="1">
      <alignment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41" fontId="5" fillId="0" borderId="78" xfId="1" applyFont="1" applyBorder="1">
      <alignment vertical="center"/>
    </xf>
    <xf numFmtId="41" fontId="5" fillId="0" borderId="23" xfId="1" applyFont="1" applyBorder="1">
      <alignment vertical="center"/>
    </xf>
    <xf numFmtId="41" fontId="5" fillId="0" borderId="18" xfId="1" applyFont="1" applyBorder="1">
      <alignment vertical="center"/>
    </xf>
    <xf numFmtId="41" fontId="3" fillId="0" borderId="19" xfId="1" applyFont="1" applyBorder="1">
      <alignment vertical="center"/>
    </xf>
    <xf numFmtId="41" fontId="3" fillId="2" borderId="56" xfId="1" applyFont="1" applyFill="1" applyBorder="1">
      <alignment vertical="center"/>
    </xf>
    <xf numFmtId="0" fontId="3" fillId="0" borderId="76" xfId="0" applyFont="1" applyBorder="1" applyAlignment="1">
      <alignment horizontal="center" vertical="center" wrapText="1"/>
    </xf>
    <xf numFmtId="0" fontId="5" fillId="0" borderId="74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5" fillId="0" borderId="0" xfId="0" applyFont="1" applyBorder="1" applyAlignment="1">
      <alignment vertical="center"/>
    </xf>
    <xf numFmtId="41" fontId="5" fillId="0" borderId="60" xfId="1" applyFont="1" applyBorder="1">
      <alignment vertical="center"/>
    </xf>
    <xf numFmtId="0" fontId="5" fillId="6" borderId="2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61" xfId="0" applyFont="1" applyBorder="1" applyAlignment="1">
      <alignment horizontal="center" vertical="center"/>
    </xf>
    <xf numFmtId="41" fontId="5" fillId="0" borderId="86" xfId="1" applyFont="1" applyBorder="1">
      <alignment vertical="center"/>
    </xf>
    <xf numFmtId="0" fontId="3" fillId="0" borderId="32" xfId="0" applyFont="1" applyBorder="1" applyAlignment="1">
      <alignment horizontal="center" vertical="center" wrapText="1"/>
    </xf>
    <xf numFmtId="0" fontId="3" fillId="0" borderId="77" xfId="0" applyFont="1" applyBorder="1" applyAlignment="1">
      <alignment horizontal="center" vertical="center" wrapText="1"/>
    </xf>
    <xf numFmtId="41" fontId="5" fillId="6" borderId="84" xfId="1" applyFont="1" applyFill="1" applyBorder="1">
      <alignment vertical="center"/>
    </xf>
    <xf numFmtId="41" fontId="5" fillId="0" borderId="13" xfId="1" applyFont="1" applyBorder="1">
      <alignment vertical="center"/>
    </xf>
    <xf numFmtId="41" fontId="5" fillId="0" borderId="15" xfId="1" applyFont="1" applyBorder="1">
      <alignment vertical="center"/>
    </xf>
    <xf numFmtId="41" fontId="5" fillId="6" borderId="0" xfId="1" applyFont="1" applyFill="1" applyBorder="1">
      <alignment vertical="center"/>
    </xf>
    <xf numFmtId="41" fontId="5" fillId="5" borderId="88" xfId="1" applyFont="1" applyFill="1" applyBorder="1">
      <alignment vertical="center"/>
    </xf>
    <xf numFmtId="0" fontId="5" fillId="0" borderId="14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41" fontId="5" fillId="0" borderId="25" xfId="1" applyFont="1" applyBorder="1" applyAlignment="1">
      <alignment vertical="center"/>
    </xf>
    <xf numFmtId="41" fontId="5" fillId="0" borderId="8" xfId="1" applyFont="1" applyBorder="1" applyAlignment="1">
      <alignment vertical="center"/>
    </xf>
    <xf numFmtId="41" fontId="5" fillId="2" borderId="50" xfId="1" applyFont="1" applyFill="1" applyBorder="1" applyAlignment="1">
      <alignment vertical="center"/>
    </xf>
    <xf numFmtId="0" fontId="17" fillId="0" borderId="37" xfId="2" applyFont="1" applyBorder="1" applyAlignment="1">
      <alignment horizontal="center" vertical="center"/>
    </xf>
    <xf numFmtId="41" fontId="5" fillId="0" borderId="27" xfId="1" applyFont="1" applyBorder="1">
      <alignment vertical="center"/>
    </xf>
    <xf numFmtId="41" fontId="5" fillId="0" borderId="91" xfId="1" applyFont="1" applyBorder="1">
      <alignment vertical="center"/>
    </xf>
    <xf numFmtId="41" fontId="5" fillId="0" borderId="92" xfId="1" applyFont="1" applyBorder="1">
      <alignment vertical="center"/>
    </xf>
    <xf numFmtId="0" fontId="5" fillId="0" borderId="3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79" xfId="0" applyFont="1" applyBorder="1" applyAlignment="1">
      <alignment horizontal="center" vertical="center" wrapText="1"/>
    </xf>
    <xf numFmtId="0" fontId="19" fillId="0" borderId="39" xfId="2" applyFont="1" applyBorder="1" applyAlignment="1">
      <alignment horizontal="center" vertical="center"/>
    </xf>
    <xf numFmtId="41" fontId="20" fillId="0" borderId="10" xfId="3" applyNumberFormat="1" applyFont="1" applyFill="1" applyBorder="1" applyAlignment="1" applyProtection="1">
      <alignment vertical="center"/>
    </xf>
    <xf numFmtId="0" fontId="20" fillId="0" borderId="0" xfId="3" applyNumberFormat="1" applyFont="1" applyAlignment="1">
      <alignment vertical="center"/>
    </xf>
    <xf numFmtId="41" fontId="11" fillId="0" borderId="22" xfId="3" applyNumberFormat="1" applyFont="1" applyFill="1" applyBorder="1" applyAlignment="1" applyProtection="1">
      <alignment vertical="center"/>
    </xf>
    <xf numFmtId="0" fontId="8" fillId="7" borderId="0" xfId="3" applyNumberFormat="1" applyFont="1" applyFill="1" applyAlignment="1">
      <alignment vertical="center"/>
    </xf>
    <xf numFmtId="0" fontId="24" fillId="0" borderId="0" xfId="3" applyNumberFormat="1" applyFont="1" applyAlignment="1">
      <alignment vertical="center"/>
    </xf>
    <xf numFmtId="0" fontId="18" fillId="0" borderId="0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0" fontId="5" fillId="0" borderId="82" xfId="0" applyFont="1" applyBorder="1" applyAlignment="1">
      <alignment horizontal="center" vertical="center"/>
    </xf>
    <xf numFmtId="0" fontId="5" fillId="0" borderId="83" xfId="0" applyFont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0" fontId="5" fillId="0" borderId="89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90" xfId="0" applyFont="1" applyBorder="1" applyAlignment="1">
      <alignment horizontal="center" vertical="center"/>
    </xf>
    <xf numFmtId="0" fontId="5" fillId="6" borderId="45" xfId="0" applyFont="1" applyFill="1" applyBorder="1" applyAlignment="1">
      <alignment horizontal="center" vertical="center"/>
    </xf>
    <xf numFmtId="0" fontId="5" fillId="6" borderId="85" xfId="0" applyFont="1" applyFill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93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5" fillId="0" borderId="73" xfId="0" applyFont="1" applyBorder="1" applyAlignment="1">
      <alignment horizontal="center" vertical="center"/>
    </xf>
    <xf numFmtId="0" fontId="13" fillId="2" borderId="49" xfId="0" applyFont="1" applyFill="1" applyBorder="1" applyAlignment="1">
      <alignment horizontal="center" vertical="center"/>
    </xf>
    <xf numFmtId="0" fontId="13" fillId="2" borderId="50" xfId="0" applyFont="1" applyFill="1" applyBorder="1" applyAlignment="1">
      <alignment horizontal="center" vertical="center"/>
    </xf>
    <xf numFmtId="0" fontId="13" fillId="2" borderId="5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5" fillId="6" borderId="43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66" xfId="0" applyFont="1" applyBorder="1" applyAlignment="1">
      <alignment horizontal="center" vertical="center" wrapText="1"/>
    </xf>
    <xf numFmtId="0" fontId="0" fillId="0" borderId="66" xfId="0" applyBorder="1" applyAlignment="1">
      <alignment horizontal="center" vertical="center"/>
    </xf>
    <xf numFmtId="0" fontId="20" fillId="0" borderId="10" xfId="3" applyNumberFormat="1" applyFont="1" applyBorder="1" applyAlignment="1">
      <alignment horizontal="center" vertical="center"/>
    </xf>
    <xf numFmtId="0" fontId="20" fillId="0" borderId="22" xfId="3" applyNumberFormat="1" applyFont="1" applyBorder="1" applyAlignment="1">
      <alignment horizontal="center" vertical="center"/>
    </xf>
    <xf numFmtId="0" fontId="20" fillId="0" borderId="3" xfId="3" applyNumberFormat="1" applyFont="1" applyBorder="1" applyAlignment="1">
      <alignment horizontal="center" vertical="center"/>
    </xf>
    <xf numFmtId="0" fontId="20" fillId="0" borderId="6" xfId="3" applyNumberFormat="1" applyFont="1" applyBorder="1" applyAlignment="1">
      <alignment horizontal="center" vertical="center"/>
    </xf>
    <xf numFmtId="0" fontId="12" fillId="0" borderId="0" xfId="3" applyNumberFormat="1" applyFont="1" applyFill="1" applyBorder="1" applyAlignment="1" applyProtection="1">
      <alignment horizontal="center" vertical="center"/>
    </xf>
    <xf numFmtId="0" fontId="20" fillId="3" borderId="76" xfId="3" applyNumberFormat="1" applyFont="1" applyFill="1" applyBorder="1" applyAlignment="1">
      <alignment horizontal="center" vertical="center"/>
    </xf>
    <xf numFmtId="0" fontId="20" fillId="3" borderId="80" xfId="3" applyNumberFormat="1" applyFont="1" applyFill="1" applyBorder="1" applyAlignment="1">
      <alignment horizontal="center" vertical="center"/>
    </xf>
    <xf numFmtId="0" fontId="20" fillId="3" borderId="81" xfId="3" applyNumberFormat="1" applyFont="1" applyFill="1" applyBorder="1" applyAlignment="1">
      <alignment horizontal="center" vertical="center"/>
    </xf>
    <xf numFmtId="0" fontId="20" fillId="3" borderId="32" xfId="3" applyNumberFormat="1" applyFont="1" applyFill="1" applyBorder="1" applyAlignment="1" applyProtection="1">
      <alignment horizontal="center" vertical="center"/>
    </xf>
    <xf numFmtId="41" fontId="20" fillId="0" borderId="13" xfId="3" applyNumberFormat="1" applyFont="1" applyFill="1" applyBorder="1" applyAlignment="1" applyProtection="1">
      <alignment horizontal="center" vertical="center"/>
    </xf>
    <xf numFmtId="41" fontId="20" fillId="0" borderId="3" xfId="3" applyNumberFormat="1" applyFont="1" applyFill="1" applyBorder="1" applyAlignment="1" applyProtection="1">
      <alignment horizontal="center" vertical="center"/>
    </xf>
    <xf numFmtId="41" fontId="20" fillId="0" borderId="6" xfId="3" applyNumberFormat="1" applyFont="1" applyFill="1" applyBorder="1" applyAlignment="1" applyProtection="1">
      <alignment horizontal="center" vertical="center"/>
    </xf>
    <xf numFmtId="41" fontId="20" fillId="0" borderId="3" xfId="1" applyNumberFormat="1" applyFont="1" applyBorder="1" applyAlignment="1">
      <alignment horizontal="center" vertical="center"/>
    </xf>
    <xf numFmtId="41" fontId="20" fillId="0" borderId="6" xfId="1" applyNumberFormat="1" applyFont="1" applyBorder="1" applyAlignment="1">
      <alignment horizontal="center" vertical="center"/>
    </xf>
    <xf numFmtId="41" fontId="20" fillId="0" borderId="8" xfId="1" applyNumberFormat="1" applyFont="1" applyBorder="1" applyAlignment="1">
      <alignment horizontal="center" vertical="center"/>
    </xf>
    <xf numFmtId="41" fontId="20" fillId="0" borderId="24" xfId="1" applyNumberFormat="1" applyFont="1" applyBorder="1" applyAlignment="1">
      <alignment horizontal="center" vertical="center"/>
    </xf>
    <xf numFmtId="0" fontId="20" fillId="3" borderId="23" xfId="4" applyNumberFormat="1" applyFont="1" applyFill="1" applyBorder="1" applyAlignment="1">
      <alignment horizontal="center" vertical="center"/>
    </xf>
    <xf numFmtId="0" fontId="20" fillId="3" borderId="22" xfId="4" applyNumberFormat="1" applyFont="1" applyFill="1" applyBorder="1" applyAlignment="1">
      <alignment horizontal="center" vertical="center"/>
    </xf>
    <xf numFmtId="0" fontId="20" fillId="3" borderId="10" xfId="4" applyNumberFormat="1" applyFont="1" applyFill="1" applyBorder="1" applyAlignment="1" applyProtection="1">
      <alignment horizontal="center" vertical="center" wrapText="1"/>
    </xf>
    <xf numFmtId="0" fontId="20" fillId="3" borderId="25" xfId="4" applyNumberFormat="1" applyFont="1" applyFill="1" applyBorder="1" applyAlignment="1" applyProtection="1">
      <alignment horizontal="center" vertical="center" wrapText="1"/>
    </xf>
    <xf numFmtId="0" fontId="20" fillId="0" borderId="11" xfId="3" applyNumberFormat="1" applyFont="1" applyFill="1" applyBorder="1" applyAlignment="1" applyProtection="1">
      <alignment horizontal="center" vertical="center"/>
    </xf>
    <xf numFmtId="0" fontId="20" fillId="0" borderId="3" xfId="3" applyNumberFormat="1" applyFont="1" applyBorder="1" applyAlignment="1">
      <alignment horizontal="center" vertical="center" shrinkToFit="1"/>
    </xf>
    <xf numFmtId="0" fontId="20" fillId="0" borderId="6" xfId="3" applyNumberFormat="1" applyFont="1" applyBorder="1" applyAlignment="1">
      <alignment horizontal="center" vertical="center" shrinkToFit="1"/>
    </xf>
    <xf numFmtId="0" fontId="20" fillId="0" borderId="18" xfId="3" applyNumberFormat="1" applyFont="1" applyBorder="1" applyAlignment="1">
      <alignment horizontal="center" vertical="center" shrinkToFit="1"/>
    </xf>
    <xf numFmtId="0" fontId="20" fillId="0" borderId="28" xfId="4" applyNumberFormat="1" applyFont="1" applyBorder="1" applyAlignment="1">
      <alignment horizontal="center" vertical="center"/>
    </xf>
    <xf numFmtId="0" fontId="20" fillId="0" borderId="29" xfId="4" applyNumberFormat="1" applyFont="1" applyBorder="1" applyAlignment="1">
      <alignment horizontal="center" vertical="center"/>
    </xf>
    <xf numFmtId="0" fontId="20" fillId="0" borderId="36" xfId="4" applyNumberFormat="1" applyFont="1" applyFill="1" applyBorder="1" applyAlignment="1" applyProtection="1">
      <alignment horizontal="center" vertical="center"/>
    </xf>
    <xf numFmtId="0" fontId="20" fillId="0" borderId="37" xfId="4" applyNumberFormat="1" applyFont="1" applyFill="1" applyBorder="1" applyAlignment="1" applyProtection="1">
      <alignment horizontal="center" vertical="center"/>
    </xf>
    <xf numFmtId="0" fontId="20" fillId="0" borderId="23" xfId="3" applyNumberFormat="1" applyFont="1" applyBorder="1" applyAlignment="1">
      <alignment horizontal="center" vertical="center"/>
    </xf>
    <xf numFmtId="41" fontId="20" fillId="0" borderId="10" xfId="1" applyNumberFormat="1" applyFont="1" applyBorder="1" applyAlignment="1">
      <alignment horizontal="center" vertical="center"/>
    </xf>
    <xf numFmtId="41" fontId="20" fillId="0" borderId="22" xfId="1" applyNumberFormat="1" applyFont="1" applyBorder="1" applyAlignment="1">
      <alignment horizontal="center" vertical="center"/>
    </xf>
    <xf numFmtId="0" fontId="20" fillId="0" borderId="18" xfId="3" applyNumberFormat="1" applyFont="1" applyBorder="1" applyAlignment="1">
      <alignment horizontal="center" vertical="center"/>
    </xf>
    <xf numFmtId="41" fontId="21" fillId="0" borderId="68" xfId="1" applyNumberFormat="1" applyFont="1" applyFill="1" applyBorder="1" applyAlignment="1" applyProtection="1">
      <alignment horizontal="center" vertical="center"/>
    </xf>
    <xf numFmtId="0" fontId="20" fillId="0" borderId="12" xfId="3" applyNumberFormat="1" applyFont="1" applyFill="1" applyBorder="1" applyAlignment="1" applyProtection="1">
      <alignment horizontal="center" vertical="center"/>
    </xf>
    <xf numFmtId="0" fontId="20" fillId="0" borderId="18" xfId="3" applyNumberFormat="1" applyFont="1" applyFill="1" applyBorder="1" applyAlignment="1" applyProtection="1">
      <alignment horizontal="center" vertical="center"/>
    </xf>
    <xf numFmtId="0" fontId="20" fillId="0" borderId="8" xfId="3" applyNumberFormat="1" applyFont="1" applyFill="1" applyBorder="1" applyAlignment="1" applyProtection="1">
      <alignment horizontal="center" vertical="center"/>
    </xf>
    <xf numFmtId="0" fontId="20" fillId="0" borderId="6" xfId="3" applyNumberFormat="1" applyFont="1" applyFill="1" applyBorder="1" applyAlignment="1" applyProtection="1">
      <alignment horizontal="center" vertical="center"/>
    </xf>
    <xf numFmtId="0" fontId="20" fillId="3" borderId="95" xfId="4" applyNumberFormat="1" applyFont="1" applyFill="1" applyBorder="1" applyAlignment="1">
      <alignment horizontal="center" vertical="center"/>
    </xf>
    <xf numFmtId="14" fontId="20" fillId="0" borderId="33" xfId="4" applyNumberFormat="1" applyFont="1" applyBorder="1" applyAlignment="1">
      <alignment horizontal="center" vertical="center"/>
    </xf>
    <xf numFmtId="41" fontId="20" fillId="0" borderId="25" xfId="1" applyNumberFormat="1" applyFont="1" applyBorder="1" applyAlignment="1">
      <alignment horizontal="center" vertical="center"/>
    </xf>
    <xf numFmtId="41" fontId="20" fillId="0" borderId="26" xfId="1" applyNumberFormat="1" applyFont="1" applyBorder="1" applyAlignment="1">
      <alignment horizontal="center" vertical="center"/>
    </xf>
    <xf numFmtId="41" fontId="20" fillId="0" borderId="14" xfId="1" applyNumberFormat="1" applyFont="1" applyBorder="1" applyAlignment="1">
      <alignment horizontal="center" vertical="center"/>
    </xf>
    <xf numFmtId="41" fontId="20" fillId="0" borderId="101" xfId="1" applyNumberFormat="1" applyFont="1" applyFill="1" applyBorder="1" applyAlignment="1" applyProtection="1">
      <alignment horizontal="center" vertical="center"/>
    </xf>
    <xf numFmtId="42" fontId="22" fillId="0" borderId="98" xfId="1" applyNumberFormat="1" applyFont="1" applyFill="1" applyBorder="1" applyAlignment="1" applyProtection="1">
      <alignment horizontal="center" vertical="center"/>
    </xf>
    <xf numFmtId="42" fontId="22" fillId="0" borderId="99" xfId="1" applyNumberFormat="1" applyFont="1" applyFill="1" applyBorder="1" applyAlignment="1" applyProtection="1">
      <alignment horizontal="center" vertical="center"/>
    </xf>
    <xf numFmtId="42" fontId="22" fillId="0" borderId="100" xfId="1" applyNumberFormat="1" applyFont="1" applyFill="1" applyBorder="1" applyAlignment="1" applyProtection="1">
      <alignment horizontal="center" vertical="center"/>
    </xf>
    <xf numFmtId="42" fontId="23" fillId="4" borderId="76" xfId="1" applyNumberFormat="1" applyFont="1" applyFill="1" applyBorder="1" applyAlignment="1" applyProtection="1">
      <alignment horizontal="right" vertical="center"/>
    </xf>
    <xf numFmtId="42" fontId="23" fillId="4" borderId="80" xfId="1" applyNumberFormat="1" applyFont="1" applyFill="1" applyBorder="1" applyAlignment="1" applyProtection="1">
      <alignment horizontal="right" vertical="center"/>
    </xf>
    <xf numFmtId="42" fontId="21" fillId="4" borderId="80" xfId="1" applyNumberFormat="1" applyFont="1" applyFill="1" applyBorder="1" applyAlignment="1" applyProtection="1">
      <alignment horizontal="left" vertical="center"/>
    </xf>
    <xf numFmtId="42" fontId="21" fillId="4" borderId="81" xfId="1" applyNumberFormat="1" applyFont="1" applyFill="1" applyBorder="1" applyAlignment="1" applyProtection="1">
      <alignment horizontal="left" vertical="center"/>
    </xf>
    <xf numFmtId="0" fontId="11" fillId="0" borderId="0" xfId="3" applyNumberFormat="1" applyFont="1" applyFill="1" applyBorder="1" applyAlignment="1" applyProtection="1">
      <alignment horizontal="center" vertical="center"/>
    </xf>
    <xf numFmtId="0" fontId="10" fillId="0" borderId="0" xfId="3" applyNumberFormat="1" applyFont="1" applyFill="1" applyBorder="1" applyAlignment="1" applyProtection="1">
      <alignment horizontal="center" vertical="center"/>
    </xf>
    <xf numFmtId="0" fontId="21" fillId="4" borderId="31" xfId="3" applyNumberFormat="1" applyFont="1" applyFill="1" applyBorder="1" applyAlignment="1" applyProtection="1">
      <alignment horizontal="center" vertical="center"/>
    </xf>
    <xf numFmtId="0" fontId="21" fillId="0" borderId="96" xfId="3" applyNumberFormat="1" applyFont="1" applyFill="1" applyBorder="1" applyAlignment="1" applyProtection="1">
      <alignment horizontal="center" vertical="center"/>
    </xf>
    <xf numFmtId="0" fontId="21" fillId="0" borderId="97" xfId="3" applyNumberFormat="1" applyFont="1" applyFill="1" applyBorder="1" applyAlignment="1" applyProtection="1">
      <alignment horizontal="center" vertical="center"/>
    </xf>
    <xf numFmtId="0" fontId="21" fillId="0" borderId="27" xfId="3" applyNumberFormat="1" applyFont="1" applyFill="1" applyBorder="1" applyAlignment="1" applyProtection="1">
      <alignment horizontal="center" vertical="center"/>
    </xf>
    <xf numFmtId="0" fontId="21" fillId="0" borderId="70" xfId="3" applyNumberFormat="1" applyFont="1" applyFill="1" applyBorder="1" applyAlignment="1" applyProtection="1">
      <alignment horizontal="center" vertical="center"/>
    </xf>
    <xf numFmtId="0" fontId="20" fillId="5" borderId="21" xfId="3" applyNumberFormat="1" applyFont="1" applyFill="1" applyBorder="1" applyAlignment="1">
      <alignment horizontal="center" vertical="center" wrapText="1"/>
    </xf>
    <xf numFmtId="0" fontId="20" fillId="5" borderId="4" xfId="3" applyNumberFormat="1" applyFont="1" applyFill="1" applyBorder="1" applyAlignment="1">
      <alignment horizontal="center" vertical="center" wrapText="1"/>
    </xf>
    <xf numFmtId="0" fontId="20" fillId="5" borderId="59" xfId="3" applyNumberFormat="1" applyFont="1" applyFill="1" applyBorder="1" applyAlignment="1">
      <alignment horizontal="center" vertical="center" wrapText="1"/>
    </xf>
    <xf numFmtId="0" fontId="20" fillId="3" borderId="31" xfId="3" applyNumberFormat="1" applyFont="1" applyFill="1" applyBorder="1" applyAlignment="1" applyProtection="1">
      <alignment horizontal="center" vertical="center"/>
    </xf>
    <xf numFmtId="0" fontId="20" fillId="0" borderId="35" xfId="3" applyNumberFormat="1" applyFont="1" applyFill="1" applyBorder="1" applyAlignment="1" applyProtection="1">
      <alignment horizontal="center" vertical="center"/>
    </xf>
    <xf numFmtId="0" fontId="20" fillId="0" borderId="94" xfId="3" applyNumberFormat="1" applyFont="1" applyFill="1" applyBorder="1" applyAlignment="1" applyProtection="1">
      <alignment horizontal="center" vertical="center"/>
    </xf>
    <xf numFmtId="0" fontId="20" fillId="5" borderId="16" xfId="3" applyNumberFormat="1" applyFont="1" applyFill="1" applyBorder="1" applyAlignment="1">
      <alignment horizontal="center" vertical="center" wrapText="1"/>
    </xf>
    <xf numFmtId="0" fontId="20" fillId="0" borderId="19" xfId="3" applyNumberFormat="1" applyFont="1" applyBorder="1" applyAlignment="1">
      <alignment horizontal="center" vertical="center"/>
    </xf>
    <xf numFmtId="0" fontId="20" fillId="0" borderId="17" xfId="3" applyNumberFormat="1" applyFont="1" applyBorder="1" applyAlignment="1">
      <alignment horizontal="center" vertical="center"/>
    </xf>
    <xf numFmtId="41" fontId="20" fillId="0" borderId="17" xfId="1" applyNumberFormat="1" applyFont="1" applyBorder="1" applyAlignment="1">
      <alignment horizontal="center" vertical="center"/>
    </xf>
    <xf numFmtId="0" fontId="20" fillId="0" borderId="14" xfId="3" applyNumberFormat="1" applyFont="1" applyBorder="1" applyAlignment="1">
      <alignment horizontal="center" vertical="center" shrinkToFit="1"/>
    </xf>
    <xf numFmtId="0" fontId="20" fillId="0" borderId="17" xfId="3" applyNumberFormat="1" applyFont="1" applyBorder="1" applyAlignment="1">
      <alignment horizontal="center" vertical="center" shrinkToFit="1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5" fillId="0" borderId="102" xfId="3" applyNumberFormat="1" applyFont="1" applyBorder="1" applyAlignment="1">
      <alignment horizontal="center" vertical="center"/>
    </xf>
    <xf numFmtId="0" fontId="15" fillId="0" borderId="103" xfId="3" applyNumberFormat="1" applyFont="1" applyBorder="1" applyAlignment="1">
      <alignment horizontal="center" vertical="center"/>
    </xf>
    <xf numFmtId="0" fontId="15" fillId="0" borderId="104" xfId="3" applyNumberFormat="1" applyFont="1" applyBorder="1" applyAlignment="1">
      <alignment horizontal="center" vertical="center"/>
    </xf>
    <xf numFmtId="0" fontId="20" fillId="0" borderId="0" xfId="3" applyNumberFormat="1" applyFont="1" applyAlignment="1">
      <alignment horizontal="center" vertical="center"/>
    </xf>
    <xf numFmtId="0" fontId="9" fillId="0" borderId="0" xfId="3" applyNumberFormat="1" applyFont="1" applyAlignment="1">
      <alignment horizontal="center" vertical="center"/>
    </xf>
    <xf numFmtId="41" fontId="20" fillId="0" borderId="10" xfId="1" applyNumberFormat="1" applyFont="1" applyFill="1" applyBorder="1" applyAlignment="1" applyProtection="1">
      <alignment vertical="center"/>
    </xf>
    <xf numFmtId="41" fontId="20" fillId="0" borderId="25" xfId="1" applyNumberFormat="1" applyFont="1" applyFill="1" applyBorder="1" applyAlignment="1" applyProtection="1">
      <alignment vertical="center"/>
    </xf>
    <xf numFmtId="41" fontId="20" fillId="0" borderId="26" xfId="1" applyNumberFormat="1" applyFont="1" applyFill="1" applyBorder="1" applyAlignment="1" applyProtection="1">
      <alignment vertical="center"/>
    </xf>
    <xf numFmtId="41" fontId="20" fillId="0" borderId="3" xfId="1" applyNumberFormat="1" applyFont="1" applyFill="1" applyBorder="1" applyAlignment="1" applyProtection="1">
      <alignment vertical="center"/>
    </xf>
    <xf numFmtId="41" fontId="20" fillId="0" borderId="8" xfId="1" applyNumberFormat="1" applyFont="1" applyFill="1" applyBorder="1" applyAlignment="1" applyProtection="1">
      <alignment vertical="center"/>
    </xf>
    <xf numFmtId="41" fontId="20" fillId="0" borderId="24" xfId="1" applyNumberFormat="1" applyFont="1" applyFill="1" applyBorder="1" applyAlignment="1" applyProtection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105" xfId="1" applyNumberFormat="1" applyFont="1" applyBorder="1" applyAlignment="1">
      <alignment vertical="center"/>
    </xf>
    <xf numFmtId="41" fontId="20" fillId="0" borderId="10" xfId="1" applyNumberFormat="1" applyFont="1" applyBorder="1" applyAlignment="1">
      <alignment vertical="center"/>
    </xf>
    <xf numFmtId="41" fontId="20" fillId="0" borderId="22" xfId="1" applyNumberFormat="1" applyFont="1" applyBorder="1" applyAlignment="1">
      <alignment vertical="center"/>
    </xf>
    <xf numFmtId="41" fontId="20" fillId="0" borderId="3" xfId="1" applyNumberFormat="1" applyFont="1" applyBorder="1" applyAlignment="1">
      <alignment vertical="center"/>
    </xf>
    <xf numFmtId="41" fontId="20" fillId="0" borderId="6" xfId="1" applyNumberFormat="1" applyFont="1" applyBorder="1" applyAlignment="1">
      <alignment vertical="center"/>
    </xf>
    <xf numFmtId="41" fontId="20" fillId="0" borderId="78" xfId="1" applyNumberFormat="1" applyFont="1" applyBorder="1" applyAlignment="1">
      <alignment vertical="center"/>
    </xf>
    <xf numFmtId="41" fontId="20" fillId="0" borderId="106" xfId="1" applyNumberFormat="1" applyFont="1" applyBorder="1" applyAlignment="1">
      <alignment vertical="center"/>
    </xf>
    <xf numFmtId="41" fontId="20" fillId="0" borderId="25" xfId="1" applyNumberFormat="1" applyFont="1" applyBorder="1" applyAlignment="1">
      <alignment vertical="center"/>
    </xf>
    <xf numFmtId="41" fontId="20" fillId="0" borderId="26" xfId="1" applyNumberFormat="1" applyFont="1" applyBorder="1" applyAlignment="1">
      <alignment vertical="center"/>
    </xf>
    <xf numFmtId="41" fontId="20" fillId="0" borderId="8" xfId="1" applyNumberFormat="1" applyFont="1" applyBorder="1" applyAlignment="1">
      <alignment vertical="center"/>
    </xf>
    <xf numFmtId="41" fontId="20" fillId="0" borderId="24" xfId="1" applyNumberFormat="1" applyFont="1" applyBorder="1" applyAlignment="1">
      <alignment vertical="center"/>
    </xf>
    <xf numFmtId="41" fontId="20" fillId="0" borderId="107" xfId="1" applyNumberFormat="1" applyFont="1" applyBorder="1" applyAlignment="1">
      <alignment vertical="center"/>
    </xf>
    <xf numFmtId="41" fontId="20" fillId="0" borderId="108" xfId="1" applyNumberFormat="1" applyFont="1" applyBorder="1" applyAlignment="1">
      <alignment vertical="center"/>
    </xf>
    <xf numFmtId="41" fontId="20" fillId="0" borderId="78" xfId="1" applyNumberFormat="1" applyFont="1" applyBorder="1" applyAlignment="1">
      <alignment horizontal="center" vertical="center"/>
    </xf>
    <xf numFmtId="41" fontId="20" fillId="0" borderId="107" xfId="1" applyNumberFormat="1" applyFont="1" applyBorder="1" applyAlignment="1">
      <alignment horizontal="center" vertical="center"/>
    </xf>
    <xf numFmtId="41" fontId="20" fillId="0" borderId="108" xfId="1" applyNumberFormat="1" applyFont="1" applyBorder="1" applyAlignment="1">
      <alignment horizontal="center" vertical="center"/>
    </xf>
  </cellXfs>
  <cellStyles count="5">
    <cellStyle name="쉼표 [0]" xfId="1" builtinId="6"/>
    <cellStyle name="연결된 셀" xfId="2" xr:uid="{00000000-0005-0000-0000-000001000000}"/>
    <cellStyle name="표준" xfId="0" builtinId="0"/>
    <cellStyle name="표준_000-이메일급여보고양식" xfId="3" xr:uid="{00000000-0005-0000-0000-000003000000}"/>
    <cellStyle name="표준_070713-7-6월급여 명세서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506516</xdr:colOff>
      <xdr:row>0</xdr:row>
      <xdr:rowOff>31401</xdr:rowOff>
    </xdr:from>
    <xdr:to>
      <xdr:col>22</xdr:col>
      <xdr:colOff>502417</xdr:colOff>
      <xdr:row>1</xdr:row>
      <xdr:rowOff>331493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1737642" y="31401"/>
          <a:ext cx="2026506" cy="6978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AH23"/>
  <sheetViews>
    <sheetView zoomScaleNormal="100" workbookViewId="0">
      <selection activeCell="C5" sqref="C5:V16"/>
    </sheetView>
  </sheetViews>
  <sheetFormatPr defaultColWidth="8.8984375" defaultRowHeight="17.399999999999999" x14ac:dyDescent="0.4"/>
  <cols>
    <col min="1" max="1" width="8.59765625" style="90" customWidth="1"/>
    <col min="2" max="2" width="2.59765625" style="1" customWidth="1"/>
    <col min="3" max="3" width="6" style="1" customWidth="1"/>
    <col min="4" max="5" width="4" style="1" customWidth="1"/>
    <col min="6" max="6" width="10.69921875" customWidth="1"/>
    <col min="7" max="7" width="9.59765625" customWidth="1"/>
    <col min="8" max="8" width="8.3984375" customWidth="1"/>
    <col min="9" max="9" width="8.59765625" customWidth="1"/>
    <col min="10" max="10" width="8.3984375" customWidth="1"/>
    <col min="11" max="11" width="7" customWidth="1"/>
    <col min="12" max="12" width="10.59765625" customWidth="1"/>
    <col min="13" max="13" width="8.3984375" bestFit="1" customWidth="1"/>
    <col min="14" max="14" width="8.59765625" customWidth="1"/>
    <col min="15" max="15" width="7.3984375" customWidth="1"/>
    <col min="16" max="16" width="8.19921875" customWidth="1"/>
    <col min="17" max="17" width="9.3984375" customWidth="1"/>
    <col min="18" max="21" width="8.3984375" customWidth="1"/>
    <col min="22" max="22" width="9.8984375" customWidth="1"/>
    <col min="23" max="26" width="10.8984375" customWidth="1"/>
    <col min="27" max="27" width="8.59765625" bestFit="1" customWidth="1"/>
    <col min="28" max="28" width="9.19921875" bestFit="1" customWidth="1"/>
    <col min="29" max="29" width="10" bestFit="1" customWidth="1"/>
    <col min="30" max="30" width="10.3984375" customWidth="1"/>
    <col min="31" max="31" width="9.19921875" customWidth="1"/>
    <col min="32" max="32" width="10.19921875" customWidth="1"/>
    <col min="33" max="33" width="6.5" customWidth="1"/>
    <col min="34" max="34" width="13" customWidth="1"/>
  </cols>
  <sheetData>
    <row r="1" spans="1:34" ht="31.5" customHeight="1" x14ac:dyDescent="0.4">
      <c r="A1"/>
      <c r="B1" s="98" t="s">
        <v>60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69"/>
      <c r="U1" s="69"/>
      <c r="AD1" s="2"/>
    </row>
    <row r="2" spans="1:34" ht="33.75" customHeight="1" thickBot="1" x14ac:dyDescent="0.45">
      <c r="A2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70"/>
      <c r="U2" s="70"/>
      <c r="V2" s="11"/>
      <c r="W2" s="11"/>
      <c r="X2" s="81"/>
      <c r="Y2" s="81"/>
      <c r="Z2" s="81"/>
    </row>
    <row r="3" spans="1:34" ht="23.25" customHeight="1" x14ac:dyDescent="0.4">
      <c r="A3" s="110" t="s">
        <v>58</v>
      </c>
      <c r="B3" s="108" t="s">
        <v>0</v>
      </c>
      <c r="C3" s="110" t="s">
        <v>22</v>
      </c>
      <c r="D3" s="112" t="s">
        <v>19</v>
      </c>
      <c r="E3" s="114" t="s">
        <v>31</v>
      </c>
      <c r="F3" s="116" t="s">
        <v>18</v>
      </c>
      <c r="G3" s="117"/>
      <c r="H3" s="117"/>
      <c r="I3" s="117"/>
      <c r="J3" s="117"/>
      <c r="K3" s="64" t="s">
        <v>34</v>
      </c>
      <c r="L3" s="118" t="s">
        <v>21</v>
      </c>
      <c r="M3" s="100" t="s">
        <v>26</v>
      </c>
      <c r="N3" s="101"/>
      <c r="O3" s="101"/>
      <c r="P3" s="101"/>
      <c r="Q3" s="101"/>
      <c r="R3" s="101"/>
      <c r="S3" s="101"/>
      <c r="T3" s="101"/>
      <c r="U3" s="102"/>
      <c r="V3" s="106" t="s">
        <v>24</v>
      </c>
      <c r="W3" s="10" t="s">
        <v>5</v>
      </c>
      <c r="X3" s="103" t="s">
        <v>36</v>
      </c>
      <c r="Y3" s="104"/>
      <c r="Z3" s="104"/>
      <c r="AA3" s="104"/>
      <c r="AB3" s="104"/>
      <c r="AC3" s="105"/>
      <c r="AD3" s="124" t="s">
        <v>24</v>
      </c>
      <c r="AE3" s="127"/>
      <c r="AF3" s="123"/>
      <c r="AG3" s="123"/>
    </row>
    <row r="4" spans="1:34" ht="62.4" x14ac:dyDescent="0.4">
      <c r="A4" s="111"/>
      <c r="B4" s="109"/>
      <c r="C4" s="111"/>
      <c r="D4" s="113"/>
      <c r="E4" s="115"/>
      <c r="F4" s="54" t="s">
        <v>23</v>
      </c>
      <c r="G4" s="55" t="s">
        <v>28</v>
      </c>
      <c r="H4" s="56" t="s">
        <v>29</v>
      </c>
      <c r="I4" s="63" t="s">
        <v>35</v>
      </c>
      <c r="J4" s="57" t="s">
        <v>30</v>
      </c>
      <c r="K4" s="91" t="s">
        <v>46</v>
      </c>
      <c r="L4" s="119"/>
      <c r="M4" s="54" t="s">
        <v>40</v>
      </c>
      <c r="N4" s="55" t="s">
        <v>41</v>
      </c>
      <c r="O4" s="89" t="s">
        <v>42</v>
      </c>
      <c r="P4" s="56" t="s">
        <v>43</v>
      </c>
      <c r="Q4" s="89" t="s">
        <v>47</v>
      </c>
      <c r="R4" s="89" t="s">
        <v>44</v>
      </c>
      <c r="S4" s="89" t="s">
        <v>45</v>
      </c>
      <c r="T4" s="72"/>
      <c r="U4" s="73"/>
      <c r="V4" s="107"/>
      <c r="W4" s="92" t="s">
        <v>7</v>
      </c>
      <c r="X4" s="85" t="s">
        <v>37</v>
      </c>
      <c r="Y4" s="85" t="s">
        <v>38</v>
      </c>
      <c r="Z4" s="85" t="s">
        <v>39</v>
      </c>
      <c r="AA4" s="40" t="s">
        <v>20</v>
      </c>
      <c r="AB4" s="79" t="s">
        <v>17</v>
      </c>
      <c r="AC4" s="80" t="s">
        <v>25</v>
      </c>
      <c r="AD4" s="125"/>
      <c r="AE4" s="128"/>
      <c r="AF4" s="126"/>
      <c r="AG4" s="123"/>
    </row>
    <row r="5" spans="1:34" ht="18.75" customHeight="1" x14ac:dyDescent="0.4">
      <c r="A5" s="7" t="s">
        <v>59</v>
      </c>
      <c r="B5" s="45">
        <v>1</v>
      </c>
      <c r="C5" s="7" t="s">
        <v>62</v>
      </c>
      <c r="D5" s="12">
        <v>70</v>
      </c>
      <c r="E5" s="13"/>
      <c r="F5" s="19">
        <f>(D5+E5)*12000</f>
        <v>840000</v>
      </c>
      <c r="G5" s="20"/>
      <c r="H5" s="20"/>
      <c r="I5" s="52"/>
      <c r="J5" s="52"/>
      <c r="K5" s="59"/>
      <c r="L5" s="36">
        <f>SUM(F5:J5)</f>
        <v>840000</v>
      </c>
      <c r="M5" s="86">
        <f>X5</f>
        <v>27310</v>
      </c>
      <c r="N5" s="71">
        <f>Y5</f>
        <v>21110</v>
      </c>
      <c r="O5" s="71">
        <f>Z5</f>
        <v>2430</v>
      </c>
      <c r="P5" s="67">
        <f>ROUNDDOWN((AF5*0.8%),-1)</f>
        <v>0</v>
      </c>
      <c r="Q5" s="20"/>
      <c r="R5" s="20"/>
      <c r="S5" s="20"/>
      <c r="T5" s="20"/>
      <c r="U5" s="21"/>
      <c r="V5" s="74">
        <f>SUM(M5:U5)</f>
        <v>50850</v>
      </c>
      <c r="W5" s="22">
        <f t="shared" ref="W5" si="0">L5-V5</f>
        <v>789150</v>
      </c>
      <c r="X5" s="82">
        <v>27310</v>
      </c>
      <c r="Y5" s="82">
        <v>21110</v>
      </c>
      <c r="Z5" s="82">
        <v>2430</v>
      </c>
      <c r="AA5" s="20">
        <f>ROUNDDOWN((AF5*1.05%),-1)</f>
        <v>0</v>
      </c>
      <c r="AB5" s="52">
        <v>4670</v>
      </c>
      <c r="AC5" s="52">
        <f t="shared" ref="AC5" si="1">ROUNDDOWN((L5*1/12),-1)</f>
        <v>70000</v>
      </c>
      <c r="AD5" s="42">
        <f t="shared" ref="AD5" si="2">SUM(AA5:AC5)</f>
        <v>74670</v>
      </c>
      <c r="AE5" s="38"/>
      <c r="AF5" s="38"/>
      <c r="AG5" s="46"/>
      <c r="AH5" s="47"/>
    </row>
    <row r="6" spans="1:34" ht="18.75" customHeight="1" x14ac:dyDescent="0.4">
      <c r="A6" s="7" t="s">
        <v>59</v>
      </c>
      <c r="B6" s="9">
        <v>2</v>
      </c>
      <c r="C6" s="8" t="s">
        <v>64</v>
      </c>
      <c r="D6" s="14"/>
      <c r="E6" s="15"/>
      <c r="F6" s="23"/>
      <c r="G6" s="24"/>
      <c r="H6" s="24"/>
      <c r="I6" s="53"/>
      <c r="J6" s="53"/>
      <c r="K6" s="60"/>
      <c r="L6" s="37"/>
      <c r="M6" s="23"/>
      <c r="N6" s="24"/>
      <c r="O6" s="24"/>
      <c r="P6" s="53"/>
      <c r="Q6" s="24"/>
      <c r="R6" s="24"/>
      <c r="S6" s="24"/>
      <c r="T6" s="24"/>
      <c r="U6" s="25"/>
      <c r="V6" s="44"/>
      <c r="W6" s="26"/>
      <c r="X6" s="83"/>
      <c r="Y6" s="83"/>
      <c r="Z6" s="83"/>
      <c r="AA6" s="24"/>
      <c r="AB6" s="53"/>
      <c r="AC6" s="53"/>
      <c r="AD6" s="43"/>
      <c r="AF6" s="41"/>
      <c r="AG6" s="49"/>
      <c r="AH6" s="47"/>
    </row>
    <row r="7" spans="1:34" ht="18.75" customHeight="1" x14ac:dyDescent="0.4">
      <c r="A7" s="7" t="s">
        <v>59</v>
      </c>
      <c r="B7" s="9">
        <v>3</v>
      </c>
      <c r="C7" s="8" t="s">
        <v>65</v>
      </c>
      <c r="D7" s="14"/>
      <c r="E7" s="15"/>
      <c r="F7" s="23"/>
      <c r="G7" s="24"/>
      <c r="H7" s="24"/>
      <c r="I7" s="53"/>
      <c r="J7" s="53"/>
      <c r="K7" s="60"/>
      <c r="L7" s="37"/>
      <c r="M7" s="23"/>
      <c r="N7" s="24"/>
      <c r="O7" s="24"/>
      <c r="P7" s="53"/>
      <c r="Q7" s="24"/>
      <c r="R7" s="24"/>
      <c r="S7" s="24"/>
      <c r="T7" s="24"/>
      <c r="U7" s="25"/>
      <c r="V7" s="44"/>
      <c r="W7" s="26"/>
      <c r="X7" s="83"/>
      <c r="Y7" s="83"/>
      <c r="Z7" s="83"/>
      <c r="AA7" s="24"/>
      <c r="AB7" s="53"/>
      <c r="AC7" s="53"/>
      <c r="AD7" s="43"/>
      <c r="AE7" s="38"/>
      <c r="AF7" s="38"/>
      <c r="AG7" s="49"/>
      <c r="AH7" s="47"/>
    </row>
    <row r="8" spans="1:34" ht="18.75" customHeight="1" x14ac:dyDescent="0.4">
      <c r="A8" s="7" t="s">
        <v>59</v>
      </c>
      <c r="B8" s="9">
        <v>4</v>
      </c>
      <c r="C8" s="8" t="s">
        <v>66</v>
      </c>
      <c r="D8" s="14"/>
      <c r="E8" s="15"/>
      <c r="F8" s="23"/>
      <c r="G8" s="24"/>
      <c r="H8" s="24"/>
      <c r="I8" s="53"/>
      <c r="J8" s="53"/>
      <c r="K8" s="60"/>
      <c r="L8" s="37"/>
      <c r="M8" s="23"/>
      <c r="N8" s="24"/>
      <c r="O8" s="24"/>
      <c r="P8" s="53"/>
      <c r="Q8" s="24"/>
      <c r="R8" s="24"/>
      <c r="S8" s="24"/>
      <c r="T8" s="24"/>
      <c r="U8" s="25"/>
      <c r="V8" s="44"/>
      <c r="W8" s="26"/>
      <c r="X8" s="83"/>
      <c r="Y8" s="83"/>
      <c r="Z8" s="83"/>
      <c r="AA8" s="24"/>
      <c r="AB8" s="53"/>
      <c r="AC8" s="53"/>
      <c r="AD8" s="43"/>
      <c r="AE8" s="38"/>
      <c r="AF8" s="38"/>
      <c r="AG8" s="49"/>
      <c r="AH8" s="47"/>
    </row>
    <row r="9" spans="1:34" ht="18.75" customHeight="1" x14ac:dyDescent="0.4">
      <c r="A9" s="7" t="s">
        <v>59</v>
      </c>
      <c r="B9" s="9">
        <v>5</v>
      </c>
      <c r="C9" s="68" t="s">
        <v>67</v>
      </c>
      <c r="D9" s="14"/>
      <c r="E9" s="15"/>
      <c r="F9" s="23"/>
      <c r="G9" s="24"/>
      <c r="H9" s="24"/>
      <c r="I9" s="53"/>
      <c r="J9" s="53"/>
      <c r="K9" s="60"/>
      <c r="L9" s="37"/>
      <c r="M9" s="23"/>
      <c r="N9" s="24"/>
      <c r="O9" s="24"/>
      <c r="P9" s="53"/>
      <c r="Q9" s="24"/>
      <c r="R9" s="24"/>
      <c r="S9" s="24"/>
      <c r="T9" s="24"/>
      <c r="U9" s="25"/>
      <c r="V9" s="44"/>
      <c r="W9" s="26"/>
      <c r="X9" s="83"/>
      <c r="Y9" s="83"/>
      <c r="Z9" s="83"/>
      <c r="AA9" s="24"/>
      <c r="AB9" s="53"/>
      <c r="AC9" s="53"/>
      <c r="AD9" s="43"/>
      <c r="AF9" s="41"/>
      <c r="AG9" s="49"/>
      <c r="AH9" s="47"/>
    </row>
    <row r="10" spans="1:34" ht="18.75" customHeight="1" x14ac:dyDescent="0.4">
      <c r="A10" s="7" t="s">
        <v>59</v>
      </c>
      <c r="B10" s="9">
        <v>6</v>
      </c>
      <c r="C10" s="68" t="s">
        <v>68</v>
      </c>
      <c r="D10" s="14"/>
      <c r="E10" s="15"/>
      <c r="F10" s="23"/>
      <c r="G10" s="24"/>
      <c r="H10" s="24"/>
      <c r="I10" s="53"/>
      <c r="J10" s="53"/>
      <c r="K10" s="60"/>
      <c r="L10" s="37"/>
      <c r="M10" s="23"/>
      <c r="N10" s="24"/>
      <c r="O10" s="24"/>
      <c r="P10" s="53"/>
      <c r="Q10" s="24"/>
      <c r="R10" s="24"/>
      <c r="S10" s="24"/>
      <c r="T10" s="24"/>
      <c r="U10" s="25"/>
      <c r="V10" s="44"/>
      <c r="W10" s="26"/>
      <c r="X10" s="83"/>
      <c r="Y10" s="83"/>
      <c r="Z10" s="83"/>
      <c r="AA10" s="24"/>
      <c r="AB10" s="53"/>
      <c r="AC10" s="53"/>
      <c r="AD10" s="43"/>
      <c r="AE10" s="38"/>
      <c r="AF10" s="38"/>
      <c r="AG10" s="49"/>
      <c r="AH10" s="47"/>
    </row>
    <row r="11" spans="1:34" ht="18.75" customHeight="1" x14ac:dyDescent="0.4">
      <c r="A11" s="7" t="s">
        <v>59</v>
      </c>
      <c r="B11" s="9">
        <v>7</v>
      </c>
      <c r="C11" s="68" t="s">
        <v>69</v>
      </c>
      <c r="D11" s="14"/>
      <c r="E11" s="15"/>
      <c r="F11" s="23"/>
      <c r="G11" s="24"/>
      <c r="H11" s="24"/>
      <c r="I11" s="53"/>
      <c r="J11" s="53"/>
      <c r="K11" s="60"/>
      <c r="L11" s="37"/>
      <c r="M11" s="23"/>
      <c r="N11" s="24"/>
      <c r="O11" s="24"/>
      <c r="P11" s="53"/>
      <c r="Q11" s="24"/>
      <c r="R11" s="24"/>
      <c r="S11" s="24"/>
      <c r="T11" s="24"/>
      <c r="U11" s="25"/>
      <c r="V11" s="44"/>
      <c r="W11" s="26"/>
      <c r="X11" s="83"/>
      <c r="Y11" s="83"/>
      <c r="Z11" s="83"/>
      <c r="AA11" s="24"/>
      <c r="AB11" s="53"/>
      <c r="AC11" s="53"/>
      <c r="AD11" s="43"/>
      <c r="AE11" s="38"/>
      <c r="AF11" s="38"/>
      <c r="AG11" s="49"/>
      <c r="AH11" s="47"/>
    </row>
    <row r="12" spans="1:34" ht="18.75" customHeight="1" x14ac:dyDescent="0.4">
      <c r="A12" s="7" t="s">
        <v>59</v>
      </c>
      <c r="B12" s="9">
        <v>8</v>
      </c>
      <c r="C12" s="68" t="s">
        <v>70</v>
      </c>
      <c r="D12" s="14"/>
      <c r="E12" s="15"/>
      <c r="F12" s="23"/>
      <c r="G12" s="24"/>
      <c r="H12" s="24"/>
      <c r="I12" s="53"/>
      <c r="J12" s="53"/>
      <c r="K12" s="60"/>
      <c r="L12" s="37"/>
      <c r="M12" s="23"/>
      <c r="N12" s="24"/>
      <c r="O12" s="24"/>
      <c r="P12" s="53"/>
      <c r="Q12" s="24"/>
      <c r="R12" s="24"/>
      <c r="S12" s="24"/>
      <c r="T12" s="24"/>
      <c r="U12" s="25"/>
      <c r="V12" s="44"/>
      <c r="W12" s="26"/>
      <c r="X12" s="83"/>
      <c r="Y12" s="83"/>
      <c r="Z12" s="83"/>
      <c r="AA12" s="24"/>
      <c r="AB12" s="53"/>
      <c r="AC12" s="53"/>
      <c r="AD12" s="43"/>
      <c r="AE12" s="38"/>
      <c r="AF12" s="38"/>
      <c r="AG12" s="49"/>
      <c r="AH12" s="47"/>
    </row>
    <row r="13" spans="1:34" ht="18.75" customHeight="1" x14ac:dyDescent="0.4">
      <c r="A13" s="7" t="s">
        <v>59</v>
      </c>
      <c r="B13" s="9">
        <v>9</v>
      </c>
      <c r="C13" s="68" t="s">
        <v>71</v>
      </c>
      <c r="D13" s="14"/>
      <c r="E13" s="15"/>
      <c r="F13" s="23"/>
      <c r="G13" s="24"/>
      <c r="H13" s="24"/>
      <c r="I13" s="53"/>
      <c r="J13" s="53"/>
      <c r="K13" s="60"/>
      <c r="L13" s="37"/>
      <c r="M13" s="23"/>
      <c r="N13" s="24"/>
      <c r="O13" s="24"/>
      <c r="P13" s="53"/>
      <c r="Q13" s="24"/>
      <c r="R13" s="24"/>
      <c r="S13" s="24"/>
      <c r="T13" s="24"/>
      <c r="U13" s="25"/>
      <c r="V13" s="44"/>
      <c r="W13" s="26"/>
      <c r="X13" s="83"/>
      <c r="Y13" s="83"/>
      <c r="Z13" s="83"/>
      <c r="AA13" s="24"/>
      <c r="AB13" s="53"/>
      <c r="AC13" s="53"/>
      <c r="AD13" s="43"/>
      <c r="AE13" s="38"/>
      <c r="AF13" s="38"/>
      <c r="AG13" s="49"/>
      <c r="AH13" s="47"/>
    </row>
    <row r="14" spans="1:34" ht="18.75" customHeight="1" x14ac:dyDescent="0.4">
      <c r="A14" s="7" t="s">
        <v>59</v>
      </c>
      <c r="B14" s="9">
        <v>10</v>
      </c>
      <c r="C14" s="68" t="s">
        <v>72</v>
      </c>
      <c r="D14" s="14"/>
      <c r="E14" s="15"/>
      <c r="F14" s="23"/>
      <c r="G14" s="24"/>
      <c r="H14" s="24"/>
      <c r="I14" s="53"/>
      <c r="J14" s="53"/>
      <c r="K14" s="60"/>
      <c r="L14" s="37"/>
      <c r="M14" s="23"/>
      <c r="N14" s="24"/>
      <c r="O14" s="24"/>
      <c r="P14" s="53"/>
      <c r="Q14" s="24"/>
      <c r="R14" s="24"/>
      <c r="S14" s="24"/>
      <c r="T14" s="24"/>
      <c r="U14" s="25"/>
      <c r="V14" s="44"/>
      <c r="W14" s="26"/>
      <c r="X14" s="83"/>
      <c r="Y14" s="83"/>
      <c r="Z14" s="83"/>
      <c r="AA14" s="24"/>
      <c r="AB14" s="53"/>
      <c r="AC14" s="53"/>
      <c r="AD14" s="43"/>
      <c r="AE14" s="38"/>
      <c r="AF14" s="38"/>
      <c r="AG14" s="49"/>
      <c r="AH14" s="47"/>
    </row>
    <row r="15" spans="1:34" ht="18.75" customHeight="1" x14ac:dyDescent="0.4">
      <c r="A15" s="8" t="s">
        <v>32</v>
      </c>
      <c r="B15" s="9">
        <v>11</v>
      </c>
      <c r="C15" s="8" t="s">
        <v>73</v>
      </c>
      <c r="D15" s="14"/>
      <c r="E15" s="15"/>
      <c r="F15" s="23"/>
      <c r="G15" s="24"/>
      <c r="H15" s="24"/>
      <c r="I15" s="53"/>
      <c r="J15" s="53"/>
      <c r="K15" s="60"/>
      <c r="L15" s="37"/>
      <c r="M15" s="23"/>
      <c r="N15" s="24"/>
      <c r="O15" s="24"/>
      <c r="P15" s="53"/>
      <c r="Q15" s="24"/>
      <c r="R15" s="24"/>
      <c r="S15" s="24"/>
      <c r="T15" s="24"/>
      <c r="U15" s="25"/>
      <c r="V15" s="44"/>
      <c r="W15" s="26"/>
      <c r="X15" s="83"/>
      <c r="Y15" s="83"/>
      <c r="Z15" s="83"/>
      <c r="AA15" s="24"/>
      <c r="AB15" s="53"/>
      <c r="AC15" s="53"/>
      <c r="AD15" s="43"/>
      <c r="AE15" s="38"/>
      <c r="AF15" s="38"/>
      <c r="AG15" s="46"/>
    </row>
    <row r="16" spans="1:34" ht="18.75" customHeight="1" thickBot="1" x14ac:dyDescent="0.45">
      <c r="A16" s="16" t="s">
        <v>33</v>
      </c>
      <c r="B16" s="9">
        <v>12</v>
      </c>
      <c r="C16" s="16" t="s">
        <v>74</v>
      </c>
      <c r="D16" s="17"/>
      <c r="E16" s="18"/>
      <c r="F16" s="27"/>
      <c r="G16" s="28"/>
      <c r="H16" s="28"/>
      <c r="I16" s="58"/>
      <c r="J16" s="58"/>
      <c r="K16" s="61"/>
      <c r="L16" s="37"/>
      <c r="M16" s="87"/>
      <c r="N16" s="88"/>
      <c r="O16" s="88"/>
      <c r="P16" s="53"/>
      <c r="Q16" s="75"/>
      <c r="R16" s="75"/>
      <c r="S16" s="75"/>
      <c r="T16" s="75"/>
      <c r="U16" s="76"/>
      <c r="V16" s="77"/>
      <c r="W16" s="26"/>
      <c r="X16" s="83"/>
      <c r="Y16" s="83"/>
      <c r="Z16" s="83"/>
      <c r="AA16" s="24"/>
      <c r="AB16" s="53"/>
      <c r="AC16" s="58"/>
      <c r="AD16" s="43"/>
      <c r="AE16" s="38"/>
      <c r="AG16" s="46"/>
    </row>
    <row r="17" spans="1:33" ht="30" customHeight="1" thickTop="1" thickBot="1" x14ac:dyDescent="0.45">
      <c r="A17"/>
      <c r="B17" s="120" t="s">
        <v>6</v>
      </c>
      <c r="C17" s="121"/>
      <c r="D17" s="121"/>
      <c r="E17" s="122"/>
      <c r="F17" s="29">
        <f t="shared" ref="F17:Q17" si="3">SUM(F5:F16)</f>
        <v>840000</v>
      </c>
      <c r="G17" s="30">
        <f t="shared" si="3"/>
        <v>0</v>
      </c>
      <c r="H17" s="31">
        <f t="shared" si="3"/>
        <v>0</v>
      </c>
      <c r="I17" s="31">
        <f t="shared" si="3"/>
        <v>0</v>
      </c>
      <c r="J17" s="31">
        <f t="shared" si="3"/>
        <v>0</v>
      </c>
      <c r="K17" s="62">
        <f t="shared" si="3"/>
        <v>0</v>
      </c>
      <c r="L17" s="39">
        <f t="shared" si="3"/>
        <v>840000</v>
      </c>
      <c r="M17" s="33">
        <f t="shared" si="3"/>
        <v>27310</v>
      </c>
      <c r="N17" s="33">
        <f t="shared" si="3"/>
        <v>21110</v>
      </c>
      <c r="O17" s="33">
        <f t="shared" si="3"/>
        <v>2430</v>
      </c>
      <c r="P17" s="34">
        <f t="shared" si="3"/>
        <v>0</v>
      </c>
      <c r="Q17" s="30">
        <f t="shared" si="3"/>
        <v>0</v>
      </c>
      <c r="R17" s="30"/>
      <c r="S17" s="30"/>
      <c r="T17" s="30"/>
      <c r="U17" s="32"/>
      <c r="V17" s="78">
        <f t="shared" ref="V17" si="4">SUM(M17:U17)</f>
        <v>50850</v>
      </c>
      <c r="W17" s="35">
        <f>SUM(W5:W16)</f>
        <v>789150</v>
      </c>
      <c r="X17" s="84"/>
      <c r="Y17" s="84"/>
      <c r="Z17" s="84"/>
      <c r="AA17" s="30">
        <f>SUM(AA5:AA16)</f>
        <v>0</v>
      </c>
      <c r="AB17" s="31">
        <f>SUM(AB5:AB16)</f>
        <v>4670</v>
      </c>
      <c r="AC17" s="31">
        <f>SUM(AC5:AC16)</f>
        <v>70000</v>
      </c>
      <c r="AD17" s="39">
        <f>SUM(AD5:AD16)</f>
        <v>74670</v>
      </c>
      <c r="AE17" s="38"/>
      <c r="AG17" s="46"/>
    </row>
    <row r="19" spans="1:33" ht="16.5" customHeight="1" x14ac:dyDescent="0.4">
      <c r="A19"/>
      <c r="C19"/>
      <c r="D19"/>
      <c r="E19"/>
      <c r="L19" s="65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</row>
    <row r="20" spans="1:33" x14ac:dyDescent="0.4">
      <c r="A20"/>
      <c r="B20"/>
      <c r="C20"/>
      <c r="D20"/>
      <c r="E20"/>
      <c r="L20" s="65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</row>
    <row r="21" spans="1:33" x14ac:dyDescent="0.4">
      <c r="A21"/>
      <c r="B21"/>
      <c r="C21"/>
      <c r="D21"/>
      <c r="E21"/>
      <c r="L21" s="66"/>
      <c r="P21" s="50"/>
      <c r="Q21" s="50"/>
      <c r="R21" s="50"/>
      <c r="S21" s="50"/>
      <c r="T21" s="50"/>
      <c r="U21" s="50"/>
      <c r="V21" s="50"/>
      <c r="W21" s="51"/>
      <c r="X21" s="51"/>
      <c r="Y21" s="51"/>
      <c r="Z21" s="51"/>
      <c r="AA21" s="50"/>
      <c r="AB21" s="50"/>
      <c r="AC21" s="50"/>
      <c r="AD21" s="50"/>
    </row>
    <row r="22" spans="1:33" ht="16.5" customHeight="1" x14ac:dyDescent="0.4">
      <c r="A22"/>
      <c r="B22"/>
      <c r="C22"/>
      <c r="D22"/>
      <c r="E22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50"/>
      <c r="X22" s="50"/>
      <c r="Y22" s="50"/>
      <c r="Z22" s="50"/>
      <c r="AA22" s="50"/>
      <c r="AB22" s="50"/>
      <c r="AC22" s="50"/>
      <c r="AD22" s="50"/>
    </row>
    <row r="23" spans="1:33" ht="16.5" customHeight="1" x14ac:dyDescent="0.4"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</sheetData>
  <mergeCells count="16">
    <mergeCell ref="B17:E17"/>
    <mergeCell ref="A3:A4"/>
    <mergeCell ref="AG3:AG4"/>
    <mergeCell ref="AD3:AD4"/>
    <mergeCell ref="AF3:AF4"/>
    <mergeCell ref="AE3:AE4"/>
    <mergeCell ref="B1:S2"/>
    <mergeCell ref="M3:U3"/>
    <mergeCell ref="X3:AC3"/>
    <mergeCell ref="V3:V4"/>
    <mergeCell ref="B3:B4"/>
    <mergeCell ref="C3:C4"/>
    <mergeCell ref="D3:D4"/>
    <mergeCell ref="E3:E4"/>
    <mergeCell ref="F3:J3"/>
    <mergeCell ref="L3:L4"/>
  </mergeCells>
  <phoneticPr fontId="14" type="noConversion"/>
  <printOptions horizontalCentered="1" verticalCentered="1"/>
  <pageMargins left="0" right="0" top="0.35433070866141736" bottom="0.35433070866141736" header="0.31496062992125984" footer="0.31496062992125984"/>
  <pageSetup paperSize="9" scale="47" orientation="landscape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59999389629810485"/>
  </sheetPr>
  <dimension ref="A1:AG24"/>
  <sheetViews>
    <sheetView tabSelected="1" zoomScaleNormal="100" workbookViewId="0">
      <selection activeCell="U18" sqref="U18:W18"/>
    </sheetView>
  </sheetViews>
  <sheetFormatPr defaultColWidth="9" defaultRowHeight="17.399999999999999" x14ac:dyDescent="0.4"/>
  <cols>
    <col min="1" max="1" width="3" customWidth="1"/>
    <col min="2" max="2" width="4.19921875" customWidth="1"/>
    <col min="3" max="7" width="7.69921875" customWidth="1"/>
    <col min="8" max="8" width="9.5" customWidth="1"/>
    <col min="9" max="10" width="7.8984375" customWidth="1"/>
    <col min="11" max="11" width="4.3984375" customWidth="1"/>
    <col min="12" max="13" width="3" customWidth="1"/>
    <col min="14" max="14" width="4.19921875" customWidth="1"/>
    <col min="15" max="19" width="7.69921875" customWidth="1"/>
    <col min="20" max="20" width="9.5" customWidth="1"/>
    <col min="21" max="22" width="7.8984375" customWidth="1"/>
    <col min="23" max="23" width="4.3984375" customWidth="1"/>
    <col min="24" max="24" width="2.8984375" customWidth="1"/>
    <col min="27" max="27" width="5.59765625" customWidth="1"/>
    <col min="28" max="28" width="6.59765625" customWidth="1"/>
    <col min="29" max="29" width="7" customWidth="1"/>
  </cols>
  <sheetData>
    <row r="1" spans="1:33" ht="16.350000000000001" customHeight="1" thickBot="1" x14ac:dyDescent="0.45">
      <c r="B1" s="198" t="s">
        <v>27</v>
      </c>
      <c r="C1" s="198"/>
      <c r="D1" s="198"/>
      <c r="N1" s="199" t="s">
        <v>54</v>
      </c>
      <c r="O1" s="199"/>
      <c r="P1" s="199"/>
    </row>
    <row r="2" spans="1:33" s="3" customFormat="1" ht="31.5" customHeight="1" thickTop="1" thickBot="1" x14ac:dyDescent="0.45">
      <c r="B2" s="204" t="str">
        <f>CONCATENATE(Z5,"년 ",AB5,"월 급여명세서")</f>
        <v>2021년 3월 급여명세서</v>
      </c>
      <c r="C2" s="204"/>
      <c r="D2" s="204"/>
      <c r="E2" s="204"/>
      <c r="F2" s="204"/>
      <c r="G2" s="204"/>
      <c r="H2" s="204"/>
      <c r="I2" s="204"/>
      <c r="J2" s="204"/>
      <c r="K2" s="204"/>
      <c r="L2"/>
      <c r="N2" s="204" t="str">
        <f>B2</f>
        <v>2021년 3월 급여명세서</v>
      </c>
      <c r="O2" s="204"/>
      <c r="P2" s="204"/>
      <c r="Q2" s="204"/>
      <c r="R2" s="204"/>
      <c r="S2" s="204"/>
      <c r="T2" s="204"/>
      <c r="U2" s="204"/>
      <c r="V2" s="204"/>
      <c r="W2" s="204"/>
      <c r="X2"/>
      <c r="AA2" s="200" t="s">
        <v>61</v>
      </c>
      <c r="AB2" s="201"/>
      <c r="AC2" s="202"/>
      <c r="AD2" s="203" t="s">
        <v>55</v>
      </c>
      <c r="AE2" s="203"/>
      <c r="AF2" s="203"/>
      <c r="AG2" s="203"/>
    </row>
    <row r="3" spans="1:33" s="3" customFormat="1" ht="5.25" customHeight="1" thickTop="1" x14ac:dyDescent="0.4">
      <c r="C3" s="5"/>
      <c r="H3" s="6"/>
      <c r="L3"/>
      <c r="O3" s="5"/>
      <c r="T3" s="6"/>
      <c r="X3"/>
    </row>
    <row r="4" spans="1:33" s="3" customFormat="1" ht="19.5" customHeight="1" x14ac:dyDescent="0.4">
      <c r="C4" s="145" t="s">
        <v>10</v>
      </c>
      <c r="D4" s="146"/>
      <c r="E4" s="147" t="s">
        <v>9</v>
      </c>
      <c r="F4" s="148"/>
      <c r="G4" s="148"/>
      <c r="H4" s="166" t="s">
        <v>8</v>
      </c>
      <c r="I4" s="166"/>
      <c r="J4" s="166"/>
      <c r="K4" s="94"/>
      <c r="L4"/>
      <c r="O4" s="145" t="s">
        <v>10</v>
      </c>
      <c r="P4" s="146"/>
      <c r="Q4" s="147" t="s">
        <v>9</v>
      </c>
      <c r="R4" s="148"/>
      <c r="S4" s="148"/>
      <c r="T4" s="166" t="s">
        <v>8</v>
      </c>
      <c r="U4" s="166"/>
      <c r="V4" s="166"/>
      <c r="W4" s="94"/>
      <c r="X4"/>
    </row>
    <row r="5" spans="1:33" s="3" customFormat="1" ht="29.25" customHeight="1" x14ac:dyDescent="0.4">
      <c r="C5" s="153" t="str">
        <f>IF(E5="하하","사회복지사",IF(E5="김태호","센터장","요양보호사"))</f>
        <v>요양보호사</v>
      </c>
      <c r="D5" s="154"/>
      <c r="E5" s="155" t="str">
        <f>AA2</f>
        <v>홍길동</v>
      </c>
      <c r="F5" s="156"/>
      <c r="G5" s="156"/>
      <c r="H5" s="167" t="s">
        <v>53</v>
      </c>
      <c r="I5" s="167"/>
      <c r="J5" s="167"/>
      <c r="K5" s="94"/>
      <c r="L5"/>
      <c r="O5" s="153" t="str">
        <f>C5</f>
        <v>요양보호사</v>
      </c>
      <c r="P5" s="154"/>
      <c r="Q5" s="155" t="str">
        <f>E5</f>
        <v>홍길동</v>
      </c>
      <c r="R5" s="156"/>
      <c r="S5" s="156"/>
      <c r="T5" s="167" t="str">
        <f>H5</f>
        <v>2021.04.20</v>
      </c>
      <c r="U5" s="167"/>
      <c r="V5" s="167"/>
      <c r="W5" s="94"/>
      <c r="X5"/>
      <c r="Z5" s="96">
        <v>2021</v>
      </c>
      <c r="AA5" s="4" t="s">
        <v>56</v>
      </c>
      <c r="AB5" s="96">
        <v>3</v>
      </c>
      <c r="AC5" s="4" t="s">
        <v>57</v>
      </c>
    </row>
    <row r="6" spans="1:33" s="3" customFormat="1" ht="6.75" customHeight="1" x14ac:dyDescent="0.4">
      <c r="D6" s="6"/>
      <c r="E6" s="6"/>
      <c r="F6" s="6"/>
      <c r="G6" s="6"/>
      <c r="H6" s="6"/>
      <c r="L6"/>
      <c r="P6" s="6"/>
      <c r="Q6" s="6"/>
      <c r="R6" s="6"/>
      <c r="S6" s="6"/>
      <c r="T6" s="6"/>
      <c r="X6"/>
    </row>
    <row r="7" spans="1:33" s="3" customFormat="1" ht="24.9" customHeight="1" x14ac:dyDescent="0.4">
      <c r="C7" s="180" t="s">
        <v>63</v>
      </c>
      <c r="D7" s="180"/>
      <c r="E7" s="180"/>
      <c r="F7" s="180"/>
      <c r="G7" s="180"/>
      <c r="H7" s="180"/>
      <c r="I7" s="180"/>
      <c r="J7" s="180"/>
      <c r="L7"/>
      <c r="O7" s="180" t="str">
        <f>C7</f>
        <v>희망재가 노인요양센터</v>
      </c>
      <c r="P7" s="180"/>
      <c r="Q7" s="180"/>
      <c r="R7" s="180"/>
      <c r="S7" s="180"/>
      <c r="T7" s="180"/>
      <c r="U7" s="180"/>
      <c r="V7" s="180"/>
      <c r="X7"/>
    </row>
    <row r="8" spans="1:33" s="3" customFormat="1" ht="16.5" customHeight="1" x14ac:dyDescent="0.4">
      <c r="C8" s="179" t="s">
        <v>16</v>
      </c>
      <c r="D8" s="179"/>
      <c r="E8" s="179"/>
      <c r="F8" s="179"/>
      <c r="G8" s="179"/>
      <c r="H8" s="179"/>
      <c r="I8" s="179"/>
      <c r="J8" s="179"/>
      <c r="L8"/>
      <c r="O8" s="179" t="str">
        <f>C8</f>
        <v>* 귀하의 노고에 진심으로 감사드립니다 *</v>
      </c>
      <c r="P8" s="179"/>
      <c r="Q8" s="179"/>
      <c r="R8" s="179"/>
      <c r="S8" s="179"/>
      <c r="T8" s="179"/>
      <c r="U8" s="179"/>
      <c r="V8" s="179"/>
      <c r="X8"/>
    </row>
    <row r="9" spans="1:33" s="3" customFormat="1" ht="18" customHeight="1" x14ac:dyDescent="0.4">
      <c r="A9" s="97"/>
      <c r="B9" s="97"/>
      <c r="C9" s="133" t="str">
        <f>CONCATENATE("[ 급여산정기간 ",Z5,".",RIGHT("0" &amp; AB5, 2),".01 ~ ",Z5,".",RIGHT("0" &amp; AB5, 2),".",DAY(DATE(Z5,AB5+1,1)-1)," ]")</f>
        <v>[ 급여산정기간 2021.03.01 ~ 2021.03.31 ]</v>
      </c>
      <c r="D9" s="133"/>
      <c r="E9" s="133"/>
      <c r="F9" s="133"/>
      <c r="G9" s="133"/>
      <c r="H9" s="133"/>
      <c r="I9" s="133"/>
      <c r="J9" s="133"/>
      <c r="L9"/>
      <c r="O9" s="133" t="str">
        <f>C9</f>
        <v>[ 급여산정기간 2021.03.01 ~ 2021.03.31 ]</v>
      </c>
      <c r="P9" s="133"/>
      <c r="Q9" s="133"/>
      <c r="R9" s="133"/>
      <c r="S9" s="133"/>
      <c r="T9" s="133"/>
      <c r="U9" s="133"/>
      <c r="V9" s="133"/>
      <c r="X9"/>
    </row>
    <row r="10" spans="1:33" s="3" customFormat="1" ht="3" customHeight="1" x14ac:dyDescent="0.4">
      <c r="H10" s="6"/>
      <c r="L10"/>
      <c r="T10" s="6"/>
      <c r="X10"/>
    </row>
    <row r="11" spans="1:33" s="4" customFormat="1" ht="30.75" customHeight="1" x14ac:dyDescent="0.4">
      <c r="B11" s="186" t="s">
        <v>15</v>
      </c>
      <c r="C11" s="189" t="s">
        <v>50</v>
      </c>
      <c r="D11" s="189"/>
      <c r="E11" s="189"/>
      <c r="F11" s="189"/>
      <c r="G11" s="137" t="s">
        <v>14</v>
      </c>
      <c r="H11" s="137"/>
      <c r="I11" s="134" t="s">
        <v>11</v>
      </c>
      <c r="J11" s="135"/>
      <c r="K11" s="136"/>
      <c r="L11"/>
      <c r="N11" s="186" t="s">
        <v>15</v>
      </c>
      <c r="O11" s="189" t="s">
        <v>50</v>
      </c>
      <c r="P11" s="189"/>
      <c r="Q11" s="189"/>
      <c r="R11" s="189"/>
      <c r="S11" s="137" t="s">
        <v>14</v>
      </c>
      <c r="T11" s="137"/>
      <c r="U11" s="134" t="s">
        <v>11</v>
      </c>
      <c r="V11" s="135"/>
      <c r="W11" s="136"/>
      <c r="X11"/>
    </row>
    <row r="12" spans="1:33" s="4" customFormat="1" ht="36" customHeight="1" x14ac:dyDescent="0.4">
      <c r="B12" s="187"/>
      <c r="C12" s="149" t="s">
        <v>13</v>
      </c>
      <c r="D12" s="149"/>
      <c r="E12" s="149"/>
      <c r="F12" s="149"/>
      <c r="G12" s="93">
        <f>VLOOKUP($E$5,명단,2,0)</f>
        <v>70</v>
      </c>
      <c r="H12" s="95" t="s">
        <v>75</v>
      </c>
      <c r="I12" s="205">
        <f>VLOOKUP($E$5,명단,4,0)</f>
        <v>840000</v>
      </c>
      <c r="J12" s="206"/>
      <c r="K12" s="207"/>
      <c r="L12"/>
      <c r="N12" s="187"/>
      <c r="O12" s="149" t="s">
        <v>13</v>
      </c>
      <c r="P12" s="149"/>
      <c r="Q12" s="149"/>
      <c r="R12" s="149"/>
      <c r="S12" s="93">
        <f>G12</f>
        <v>70</v>
      </c>
      <c r="T12" s="95" t="str">
        <f>H12</f>
        <v>*12000</v>
      </c>
      <c r="U12" s="205">
        <f>I12</f>
        <v>840000</v>
      </c>
      <c r="V12" s="206"/>
      <c r="W12" s="207"/>
      <c r="X12"/>
    </row>
    <row r="13" spans="1:33" s="4" customFormat="1" ht="36" customHeight="1" x14ac:dyDescent="0.4">
      <c r="B13" s="186"/>
      <c r="C13" s="162" t="s">
        <v>48</v>
      </c>
      <c r="D13" s="162"/>
      <c r="E13" s="162"/>
      <c r="F13" s="162"/>
      <c r="G13" s="138"/>
      <c r="H13" s="138"/>
      <c r="I13" s="208">
        <f>VLOOKUP($E$5,명단,5,0)</f>
        <v>0</v>
      </c>
      <c r="J13" s="209"/>
      <c r="K13" s="210"/>
      <c r="L13"/>
      <c r="N13" s="186"/>
      <c r="O13" s="162" t="s">
        <v>48</v>
      </c>
      <c r="P13" s="162"/>
      <c r="Q13" s="162"/>
      <c r="R13" s="162"/>
      <c r="S13" s="138"/>
      <c r="T13" s="138"/>
      <c r="U13" s="208">
        <f>I13</f>
        <v>0</v>
      </c>
      <c r="V13" s="209"/>
      <c r="W13" s="210"/>
      <c r="X13"/>
    </row>
    <row r="14" spans="1:33" s="4" customFormat="1" ht="36" customHeight="1" x14ac:dyDescent="0.4">
      <c r="B14" s="188"/>
      <c r="C14" s="163" t="s">
        <v>49</v>
      </c>
      <c r="D14" s="164"/>
      <c r="E14" s="164"/>
      <c r="F14" s="165"/>
      <c r="G14" s="139"/>
      <c r="H14" s="140"/>
      <c r="I14" s="208">
        <f>VLOOKUP($E$5,명단,8,0)</f>
        <v>0</v>
      </c>
      <c r="J14" s="209"/>
      <c r="K14" s="210"/>
      <c r="L14"/>
      <c r="N14" s="188"/>
      <c r="O14" s="163" t="s">
        <v>49</v>
      </c>
      <c r="P14" s="164"/>
      <c r="Q14" s="164"/>
      <c r="R14" s="165"/>
      <c r="S14" s="139"/>
      <c r="T14" s="140"/>
      <c r="U14" s="208">
        <f>I14</f>
        <v>0</v>
      </c>
      <c r="V14" s="209"/>
      <c r="W14" s="210"/>
      <c r="X14"/>
    </row>
    <row r="15" spans="1:33" s="4" customFormat="1" ht="36" customHeight="1" x14ac:dyDescent="0.4">
      <c r="B15" s="188"/>
      <c r="C15" s="163" t="str">
        <f>임금대장!$I$4</f>
        <v>장기근속
장려금</v>
      </c>
      <c r="D15" s="164"/>
      <c r="E15" s="164"/>
      <c r="F15" s="165"/>
      <c r="G15" s="139"/>
      <c r="H15" s="140"/>
      <c r="I15" s="208">
        <f>VLOOKUP($E$5,명단,7,0)</f>
        <v>0</v>
      </c>
      <c r="J15" s="209"/>
      <c r="K15" s="210"/>
      <c r="L15"/>
      <c r="N15" s="188"/>
      <c r="O15" s="163" t="str">
        <f>임금대장!$I$4</f>
        <v>장기근속
장려금</v>
      </c>
      <c r="P15" s="164"/>
      <c r="Q15" s="164"/>
      <c r="R15" s="165"/>
      <c r="S15" s="139"/>
      <c r="T15" s="140"/>
      <c r="U15" s="208">
        <f>I15</f>
        <v>0</v>
      </c>
      <c r="V15" s="209"/>
      <c r="W15" s="210"/>
      <c r="X15"/>
    </row>
    <row r="16" spans="1:33" s="4" customFormat="1" ht="36" customHeight="1" x14ac:dyDescent="0.4">
      <c r="B16" s="187"/>
      <c r="C16" s="162" t="s">
        <v>1</v>
      </c>
      <c r="D16" s="162"/>
      <c r="E16" s="162"/>
      <c r="F16" s="162"/>
      <c r="G16" s="138"/>
      <c r="H16" s="138"/>
      <c r="I16" s="211">
        <f>VLOOKUP($E$5,명단,6,0)</f>
        <v>0</v>
      </c>
      <c r="J16" s="212"/>
      <c r="K16" s="213"/>
      <c r="L16"/>
      <c r="N16" s="187"/>
      <c r="O16" s="162" t="s">
        <v>1</v>
      </c>
      <c r="P16" s="162"/>
      <c r="Q16" s="162"/>
      <c r="R16" s="162"/>
      <c r="S16" s="138"/>
      <c r="T16" s="138"/>
      <c r="U16" s="211">
        <f>I16</f>
        <v>0</v>
      </c>
      <c r="V16" s="212"/>
      <c r="W16" s="213"/>
      <c r="X16"/>
    </row>
    <row r="17" spans="2:24" s="4" customFormat="1" ht="39.75" customHeight="1" x14ac:dyDescent="0.4">
      <c r="B17" s="187"/>
      <c r="C17" s="184" t="s">
        <v>51</v>
      </c>
      <c r="D17" s="184"/>
      <c r="E17" s="184"/>
      <c r="F17" s="185"/>
      <c r="G17" s="161">
        <f>SUM(I12:K16)</f>
        <v>840000</v>
      </c>
      <c r="H17" s="161"/>
      <c r="I17" s="161"/>
      <c r="J17" s="161"/>
      <c r="K17" s="161"/>
      <c r="L17"/>
      <c r="N17" s="187"/>
      <c r="O17" s="184" t="s">
        <v>51</v>
      </c>
      <c r="P17" s="184"/>
      <c r="Q17" s="184"/>
      <c r="R17" s="185"/>
      <c r="S17" s="161">
        <f>G17</f>
        <v>840000</v>
      </c>
      <c r="T17" s="161"/>
      <c r="U17" s="161"/>
      <c r="V17" s="161"/>
      <c r="W17" s="161"/>
      <c r="X17"/>
    </row>
    <row r="18" spans="2:24" s="4" customFormat="1" ht="36" customHeight="1" x14ac:dyDescent="0.4">
      <c r="B18" s="186" t="s">
        <v>12</v>
      </c>
      <c r="C18" s="157" t="str">
        <f>임금대장!$P$4</f>
        <v>고용보험</v>
      </c>
      <c r="D18" s="130"/>
      <c r="E18" s="214">
        <f>VLOOKUP($E$5,명단,14,0)</f>
        <v>0</v>
      </c>
      <c r="F18" s="215"/>
      <c r="G18" s="129" t="str">
        <f>임금대장!$R$4</f>
        <v>갑근세</v>
      </c>
      <c r="H18" s="130"/>
      <c r="I18" s="214">
        <f>VLOOKUP($E$5,명단,16,0)</f>
        <v>0</v>
      </c>
      <c r="J18" s="220"/>
      <c r="K18" s="221"/>
      <c r="L18"/>
      <c r="N18" s="186" t="s">
        <v>12</v>
      </c>
      <c r="O18" s="157" t="str">
        <f>임금대장!$P$4</f>
        <v>고용보험</v>
      </c>
      <c r="P18" s="130"/>
      <c r="Q18" s="158">
        <f>E18</f>
        <v>0</v>
      </c>
      <c r="R18" s="159"/>
      <c r="S18" s="129" t="str">
        <f>임금대장!$R$4</f>
        <v>갑근세</v>
      </c>
      <c r="T18" s="130"/>
      <c r="U18" s="158">
        <f>I18</f>
        <v>0</v>
      </c>
      <c r="V18" s="168"/>
      <c r="W18" s="169"/>
      <c r="X18"/>
    </row>
    <row r="19" spans="2:24" s="4" customFormat="1" ht="36" customHeight="1" x14ac:dyDescent="0.4">
      <c r="B19" s="187"/>
      <c r="C19" s="160" t="str">
        <f>임금대장!$N$4</f>
        <v>건강보험</v>
      </c>
      <c r="D19" s="132"/>
      <c r="E19" s="216">
        <f>VLOOKUP($E$5,명단,12,0)</f>
        <v>21110</v>
      </c>
      <c r="F19" s="217"/>
      <c r="G19" s="131" t="str">
        <f>임금대장!$S$4</f>
        <v>주민세</v>
      </c>
      <c r="H19" s="132"/>
      <c r="I19" s="216">
        <f>VLOOKUP($E$5,명단,17,0)</f>
        <v>0</v>
      </c>
      <c r="J19" s="222"/>
      <c r="K19" s="223"/>
      <c r="L19"/>
      <c r="N19" s="187"/>
      <c r="O19" s="160" t="str">
        <f>임금대장!$N$4</f>
        <v>건강보험</v>
      </c>
      <c r="P19" s="132"/>
      <c r="Q19" s="141">
        <f>E19</f>
        <v>21110</v>
      </c>
      <c r="R19" s="142"/>
      <c r="S19" s="131" t="str">
        <f>임금대장!$S$4</f>
        <v>주민세</v>
      </c>
      <c r="T19" s="132"/>
      <c r="U19" s="141">
        <f>I19</f>
        <v>0</v>
      </c>
      <c r="V19" s="143"/>
      <c r="W19" s="144"/>
      <c r="X19"/>
    </row>
    <row r="20" spans="2:24" s="4" customFormat="1" ht="36" customHeight="1" x14ac:dyDescent="0.4">
      <c r="B20" s="187"/>
      <c r="C20" s="152" t="str">
        <f>임금대장!$O$4</f>
        <v>노인장기
요양보험</v>
      </c>
      <c r="D20" s="151"/>
      <c r="E20" s="216">
        <f>VLOOKUP($E$5,명단,13,0)</f>
        <v>2430</v>
      </c>
      <c r="F20" s="217"/>
      <c r="G20" s="150"/>
      <c r="H20" s="151"/>
      <c r="I20" s="216"/>
      <c r="J20" s="222"/>
      <c r="K20" s="223"/>
      <c r="L20"/>
      <c r="N20" s="187"/>
      <c r="O20" s="152" t="str">
        <f>임금대장!$O$4</f>
        <v>노인장기
요양보험</v>
      </c>
      <c r="P20" s="151"/>
      <c r="Q20" s="141">
        <f>E20</f>
        <v>2430</v>
      </c>
      <c r="R20" s="142"/>
      <c r="S20" s="150"/>
      <c r="T20" s="151"/>
      <c r="U20" s="141"/>
      <c r="V20" s="143"/>
      <c r="W20" s="144"/>
      <c r="X20"/>
    </row>
    <row r="21" spans="2:24" s="4" customFormat="1" ht="36" customHeight="1" thickBot="1" x14ac:dyDescent="0.45">
      <c r="B21" s="187"/>
      <c r="C21" s="193" t="str">
        <f>임금대장!$M$4</f>
        <v>국민연금</v>
      </c>
      <c r="D21" s="194"/>
      <c r="E21" s="218">
        <f>VLOOKUP($E$5,명단,11,0)</f>
        <v>27310</v>
      </c>
      <c r="F21" s="219"/>
      <c r="G21" s="196" t="str">
        <f>임금대장!$Q$4</f>
        <v>연말
정산공제</v>
      </c>
      <c r="H21" s="197"/>
      <c r="I21" s="218">
        <f>VLOOKUP($E$5,명단,15,0)</f>
        <v>0</v>
      </c>
      <c r="J21" s="224"/>
      <c r="K21" s="225"/>
      <c r="L21"/>
      <c r="N21" s="187"/>
      <c r="O21" s="193" t="str">
        <f>임금대장!$M$4</f>
        <v>국민연금</v>
      </c>
      <c r="P21" s="194"/>
      <c r="Q21" s="170">
        <f>E21</f>
        <v>27310</v>
      </c>
      <c r="R21" s="195"/>
      <c r="S21" s="196" t="str">
        <f>임금대장!$Q$4</f>
        <v>연말
정산공제</v>
      </c>
      <c r="T21" s="197"/>
      <c r="U21" s="226">
        <f>I21</f>
        <v>0</v>
      </c>
      <c r="V21" s="227"/>
      <c r="W21" s="228"/>
      <c r="X21"/>
    </row>
    <row r="22" spans="2:24" s="4" customFormat="1" ht="42" customHeight="1" thickTop="1" thickBot="1" x14ac:dyDescent="0.45">
      <c r="B22" s="192"/>
      <c r="C22" s="190" t="s">
        <v>2</v>
      </c>
      <c r="D22" s="190"/>
      <c r="E22" s="190"/>
      <c r="F22" s="191"/>
      <c r="G22" s="171">
        <f>SUM(E18:F21,I18:K19,I21)</f>
        <v>50850</v>
      </c>
      <c r="H22" s="171"/>
      <c r="I22" s="171"/>
      <c r="J22" s="171"/>
      <c r="K22" s="171"/>
      <c r="L22"/>
      <c r="N22" s="192"/>
      <c r="O22" s="190" t="s">
        <v>2</v>
      </c>
      <c r="P22" s="190"/>
      <c r="Q22" s="190"/>
      <c r="R22" s="191"/>
      <c r="S22" s="171">
        <f>G22</f>
        <v>50850</v>
      </c>
      <c r="T22" s="171"/>
      <c r="U22" s="171"/>
      <c r="V22" s="171"/>
      <c r="W22" s="171"/>
      <c r="X22"/>
    </row>
    <row r="23" spans="2:24" s="4" customFormat="1" ht="40.5" customHeight="1" thickTop="1" x14ac:dyDescent="0.4">
      <c r="B23" s="182" t="s">
        <v>4</v>
      </c>
      <c r="C23" s="183"/>
      <c r="D23" s="183"/>
      <c r="E23" s="183"/>
      <c r="F23" s="183"/>
      <c r="G23" s="172">
        <f>G17-G22</f>
        <v>789150</v>
      </c>
      <c r="H23" s="173"/>
      <c r="I23" s="173"/>
      <c r="J23" s="173"/>
      <c r="K23" s="174"/>
      <c r="L23"/>
      <c r="N23" s="182" t="s">
        <v>4</v>
      </c>
      <c r="O23" s="183"/>
      <c r="P23" s="183"/>
      <c r="Q23" s="183"/>
      <c r="R23" s="183"/>
      <c r="S23" s="172">
        <f>G23</f>
        <v>789150</v>
      </c>
      <c r="T23" s="173"/>
      <c r="U23" s="173"/>
      <c r="V23" s="173"/>
      <c r="W23" s="174"/>
      <c r="X23"/>
    </row>
    <row r="24" spans="2:24" s="4" customFormat="1" ht="40.5" customHeight="1" x14ac:dyDescent="0.4">
      <c r="B24" s="181" t="s">
        <v>3</v>
      </c>
      <c r="C24" s="181"/>
      <c r="D24" s="181"/>
      <c r="E24" s="181"/>
      <c r="F24" s="181"/>
      <c r="G24" s="175" t="str">
        <f>E5</f>
        <v>홍길동</v>
      </c>
      <c r="H24" s="176"/>
      <c r="I24" s="176"/>
      <c r="J24" s="177" t="s">
        <v>52</v>
      </c>
      <c r="K24" s="178"/>
      <c r="L24"/>
      <c r="N24" s="181" t="s">
        <v>3</v>
      </c>
      <c r="O24" s="181"/>
      <c r="P24" s="181"/>
      <c r="Q24" s="181"/>
      <c r="R24" s="181"/>
      <c r="S24" s="175" t="str">
        <f>G24</f>
        <v>홍길동</v>
      </c>
      <c r="T24" s="176"/>
      <c r="U24" s="176"/>
      <c r="V24" s="177" t="s">
        <v>52</v>
      </c>
      <c r="W24" s="178"/>
      <c r="X24"/>
    </row>
  </sheetData>
  <mergeCells count="112">
    <mergeCell ref="N23:R23"/>
    <mergeCell ref="S23:W23"/>
    <mergeCell ref="N24:R24"/>
    <mergeCell ref="S24:U24"/>
    <mergeCell ref="V24:W24"/>
    <mergeCell ref="B1:D1"/>
    <mergeCell ref="N1:P1"/>
    <mergeCell ref="AA2:AC2"/>
    <mergeCell ref="AD2:AG2"/>
    <mergeCell ref="B2:K2"/>
    <mergeCell ref="N2:W2"/>
    <mergeCell ref="O14:R14"/>
    <mergeCell ref="U14:W14"/>
    <mergeCell ref="O15:R15"/>
    <mergeCell ref="U15:W15"/>
    <mergeCell ref="O16:R16"/>
    <mergeCell ref="U16:W16"/>
    <mergeCell ref="O17:R17"/>
    <mergeCell ref="S17:W17"/>
    <mergeCell ref="N18:N22"/>
    <mergeCell ref="O18:P18"/>
    <mergeCell ref="Q18:R18"/>
    <mergeCell ref="U18:W18"/>
    <mergeCell ref="O19:P19"/>
    <mergeCell ref="O20:P20"/>
    <mergeCell ref="Q20:R20"/>
    <mergeCell ref="U20:W20"/>
    <mergeCell ref="O21:P21"/>
    <mergeCell ref="Q21:R21"/>
    <mergeCell ref="U21:W21"/>
    <mergeCell ref="O22:R22"/>
    <mergeCell ref="S22:W22"/>
    <mergeCell ref="S20:T20"/>
    <mergeCell ref="S21:T21"/>
    <mergeCell ref="O4:P4"/>
    <mergeCell ref="T4:V4"/>
    <mergeCell ref="N11:N17"/>
    <mergeCell ref="O11:R11"/>
    <mergeCell ref="O12:R12"/>
    <mergeCell ref="O13:R13"/>
    <mergeCell ref="Q4:S4"/>
    <mergeCell ref="Q5:S5"/>
    <mergeCell ref="O5:P5"/>
    <mergeCell ref="T5:V5"/>
    <mergeCell ref="O7:V7"/>
    <mergeCell ref="O8:V8"/>
    <mergeCell ref="S16:T16"/>
    <mergeCell ref="I21:K21"/>
    <mergeCell ref="G22:K22"/>
    <mergeCell ref="G23:K23"/>
    <mergeCell ref="G24:I24"/>
    <mergeCell ref="J24:K24"/>
    <mergeCell ref="C9:J9"/>
    <mergeCell ref="C8:J8"/>
    <mergeCell ref="C7:J7"/>
    <mergeCell ref="B24:F24"/>
    <mergeCell ref="B23:F23"/>
    <mergeCell ref="G19:H19"/>
    <mergeCell ref="C17:F17"/>
    <mergeCell ref="C16:F16"/>
    <mergeCell ref="G16:H16"/>
    <mergeCell ref="B11:B17"/>
    <mergeCell ref="C11:F11"/>
    <mergeCell ref="C22:F22"/>
    <mergeCell ref="C15:F15"/>
    <mergeCell ref="G15:H15"/>
    <mergeCell ref="I11:K11"/>
    <mergeCell ref="B18:B22"/>
    <mergeCell ref="C21:D21"/>
    <mergeCell ref="E21:F21"/>
    <mergeCell ref="G21:H21"/>
    <mergeCell ref="C4:D4"/>
    <mergeCell ref="E4:G4"/>
    <mergeCell ref="C12:F12"/>
    <mergeCell ref="G20:H20"/>
    <mergeCell ref="C20:D20"/>
    <mergeCell ref="E20:F20"/>
    <mergeCell ref="C5:D5"/>
    <mergeCell ref="E5:G5"/>
    <mergeCell ref="C18:D18"/>
    <mergeCell ref="E18:F18"/>
    <mergeCell ref="G18:H18"/>
    <mergeCell ref="C19:D19"/>
    <mergeCell ref="E19:F19"/>
    <mergeCell ref="G17:K17"/>
    <mergeCell ref="C13:F13"/>
    <mergeCell ref="G13:H13"/>
    <mergeCell ref="G11:H11"/>
    <mergeCell ref="C14:F14"/>
    <mergeCell ref="H4:J4"/>
    <mergeCell ref="H5:J5"/>
    <mergeCell ref="I19:K19"/>
    <mergeCell ref="I20:K20"/>
    <mergeCell ref="I18:K18"/>
    <mergeCell ref="G14:H14"/>
    <mergeCell ref="I12:K12"/>
    <mergeCell ref="I13:K13"/>
    <mergeCell ref="I14:K14"/>
    <mergeCell ref="I15:K15"/>
    <mergeCell ref="I16:K16"/>
    <mergeCell ref="S18:T18"/>
    <mergeCell ref="S19:T19"/>
    <mergeCell ref="O9:V9"/>
    <mergeCell ref="U11:W11"/>
    <mergeCell ref="U12:W12"/>
    <mergeCell ref="U13:W13"/>
    <mergeCell ref="S11:T11"/>
    <mergeCell ref="S13:T13"/>
    <mergeCell ref="S14:T14"/>
    <mergeCell ref="S15:T15"/>
    <mergeCell ref="Q19:R19"/>
    <mergeCell ref="U19:W19"/>
  </mergeCells>
  <phoneticPr fontId="14" type="noConversion"/>
  <printOptions horizontalCentered="1" verticalCentered="1"/>
  <pageMargins left="0.59055118110236227" right="0.59055118110236227" top="0.15748031496062992" bottom="0.23622047244094491" header="7.874015748031496E-2" footer="0.35433070866141736"/>
  <pageSetup paperSize="9" fitToWidth="0" fitToHeight="0" pageOrder="overThenDown" orientation="portrait" horizontalDpi="4294967293" verticalDpi="4294967293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EF2CA41-F370-40FB-9412-BDCA17667BE1}">
          <x14:formula1>
            <xm:f>임금대장!$C$5:$C$16</xm:f>
          </x14:formula1>
          <xm:sqref>AA2:AC2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임금대장</vt:lpstr>
      <vt:lpstr>명세서</vt:lpstr>
      <vt:lpstr>명단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>1</cp:revision>
  <dcterms:created xsi:type="dcterms:W3CDTF">2021-04-15T12:35:33Z</dcterms:created>
  <dcterms:modified xsi:type="dcterms:W3CDTF">2022-03-10T23:53:55Z</dcterms:modified>
</cp:coreProperties>
</file>